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_Analytics_Project\Excel_Project\"/>
    </mc:Choice>
  </mc:AlternateContent>
  <xr:revisionPtr revIDLastSave="0" documentId="13_ncr:1_{E802B324-3782-45C8-A401-BA0C2762DFA4}" xr6:coauthVersionLast="47" xr6:coauthVersionMax="47" xr10:uidLastSave="{00000000-0000-0000-0000-000000000000}"/>
  <bookViews>
    <workbookView xWindow="-108" yWindow="-108" windowWidth="23256" windowHeight="12456" activeTab="2" xr2:uid="{E3E23A51-D784-4BF5-876A-116173D79597}"/>
  </bookViews>
  <sheets>
    <sheet name="employee_salary_dataset" sheetId="1" r:id="rId1"/>
    <sheet name="Day-1_Basic_Functions" sheetId="2" r:id="rId2"/>
    <sheet name="Day-2_Logical_Fun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5" i="3" l="1" a="1"/>
  <c r="S5" i="3" s="1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" i="3"/>
  <c r="P5" i="3" a="1"/>
  <c r="P5" i="3" s="1"/>
  <c r="O5" i="3" a="1"/>
  <c r="O5" i="3" s="1"/>
  <c r="N5" i="3" a="1"/>
  <c r="N5" i="3" s="1"/>
  <c r="M5" i="3" a="1"/>
  <c r="M5" i="3" s="1"/>
  <c r="L5" i="3" a="1"/>
  <c r="L5" i="3" s="1"/>
  <c r="K5" i="3" a="1"/>
  <c r="K5" i="3" s="1"/>
  <c r="J5" i="3" a="1"/>
  <c r="J5" i="3" s="1"/>
  <c r="I5" i="3" a="1"/>
  <c r="I5" i="3" s="1"/>
  <c r="H5" i="3" a="1"/>
  <c r="H5" i="3" s="1"/>
  <c r="G5" i="3" a="1"/>
  <c r="G5" i="3" s="1"/>
  <c r="F5" i="3" a="1"/>
  <c r="F5" i="3" s="1"/>
  <c r="E5" i="3" a="1"/>
  <c r="E5" i="3" s="1"/>
  <c r="E4" i="3" a="1"/>
  <c r="E4" i="3" s="1"/>
  <c r="B41" i="2"/>
  <c r="B37" i="2"/>
  <c r="B33" i="2"/>
  <c r="B29" i="2"/>
  <c r="B25" i="2"/>
  <c r="B21" i="2"/>
  <c r="B17" i="2"/>
  <c r="B13" i="2"/>
  <c r="B9" i="2"/>
  <c r="B5" i="2"/>
  <c r="I54" i="1"/>
  <c r="I53" i="1"/>
  <c r="I52" i="1"/>
  <c r="I5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<sst xmlns="http://schemas.openxmlformats.org/spreadsheetml/2006/main" count="306" uniqueCount="122">
  <si>
    <t>EmployeeID</t>
  </si>
  <si>
    <t>Name</t>
  </si>
  <si>
    <t>Department</t>
  </si>
  <si>
    <t>Experience_Years</t>
  </si>
  <si>
    <t>Education_Level</t>
  </si>
  <si>
    <t>Age</t>
  </si>
  <si>
    <t>Gender</t>
  </si>
  <si>
    <t>City</t>
  </si>
  <si>
    <t>Monthly_Salary</t>
  </si>
  <si>
    <t>Marketing</t>
  </si>
  <si>
    <t>Master</t>
  </si>
  <si>
    <t>Female</t>
  </si>
  <si>
    <t>Delhi</t>
  </si>
  <si>
    <t>Operations</t>
  </si>
  <si>
    <t>Bachelor</t>
  </si>
  <si>
    <t>Bangalore</t>
  </si>
  <si>
    <t>IT</t>
  </si>
  <si>
    <t>High School</t>
  </si>
  <si>
    <t>Hyderabad</t>
  </si>
  <si>
    <t>PhD</t>
  </si>
  <si>
    <t>Male</t>
  </si>
  <si>
    <t>Finance</t>
  </si>
  <si>
    <t>Mumbai</t>
  </si>
  <si>
    <t>Chennai</t>
  </si>
  <si>
    <t>HR</t>
  </si>
  <si>
    <t>AMAR</t>
  </si>
  <si>
    <t>MAHALAKSHMI</t>
  </si>
  <si>
    <t>SATYA</t>
  </si>
  <si>
    <t>NAVYA</t>
  </si>
  <si>
    <t>SAI RAJ</t>
  </si>
  <si>
    <t>SAI BINDU</t>
  </si>
  <si>
    <t>MYTHRI</t>
  </si>
  <si>
    <t>MITHALI RAJ</t>
  </si>
  <si>
    <t>MAMITA</t>
  </si>
  <si>
    <t>NITHYA</t>
  </si>
  <si>
    <t>MEGHANA</t>
  </si>
  <si>
    <t>SMRITI MANDANA</t>
  </si>
  <si>
    <t>RICHA GHOSH</t>
  </si>
  <si>
    <t>SRI CHARANI</t>
  </si>
  <si>
    <t>KAUR</t>
  </si>
  <si>
    <t>PRIYANKA KAUR</t>
  </si>
  <si>
    <t>NAMRATA</t>
  </si>
  <si>
    <t>PRAGNYA</t>
  </si>
  <si>
    <t>LILLY</t>
  </si>
  <si>
    <t>RASGNYA</t>
  </si>
  <si>
    <t>HIMA BINDU</t>
  </si>
  <si>
    <t>HEMA SRI</t>
  </si>
  <si>
    <t>SONALI</t>
  </si>
  <si>
    <t>SAMSKRUTHI</t>
  </si>
  <si>
    <t>DEEPA</t>
  </si>
  <si>
    <t>SAMHITHA</t>
  </si>
  <si>
    <t>SARANYA</t>
  </si>
  <si>
    <t>PRASANNA</t>
  </si>
  <si>
    <t>SRAVYA</t>
  </si>
  <si>
    <t>AKBAR</t>
  </si>
  <si>
    <t>ANTHONY</t>
  </si>
  <si>
    <t>SAI</t>
  </si>
  <si>
    <t>MALLIKHARJUN</t>
  </si>
  <si>
    <t>ANVESH</t>
  </si>
  <si>
    <t>SHIRISH</t>
  </si>
  <si>
    <t>SAHIL</t>
  </si>
  <si>
    <t>MURALI</t>
  </si>
  <si>
    <t>KRISHNA</t>
  </si>
  <si>
    <t>VISHNU</t>
  </si>
  <si>
    <t>VIVEK</t>
  </si>
  <si>
    <t>SAI KUMAR</t>
  </si>
  <si>
    <t>BHAVANI SHANKAR</t>
  </si>
  <si>
    <t>MANI KUMAR</t>
  </si>
  <si>
    <t>MANIKANTA</t>
  </si>
  <si>
    <t>MADHAV</t>
  </si>
  <si>
    <t>SRI RAM</t>
  </si>
  <si>
    <t>RAVI SANKAR</t>
  </si>
  <si>
    <t>SIVA KUMAR</t>
  </si>
  <si>
    <t>VIKAS</t>
  </si>
  <si>
    <t>DINESH KUMAR</t>
  </si>
  <si>
    <t>Level 1: Basic Functions</t>
  </si>
  <si>
    <t>Task 1</t>
  </si>
  <si>
    <t>Find the total number of employees.</t>
  </si>
  <si>
    <t>Task 2</t>
  </si>
  <si>
    <t>Find the average monthly salary.</t>
  </si>
  <si>
    <t>Task 3</t>
  </si>
  <si>
    <t>Find the highest salary.</t>
  </si>
  <si>
    <t>Task 4</t>
  </si>
  <si>
    <t>Find the lowest salary.</t>
  </si>
  <si>
    <t>Task 5</t>
  </si>
  <si>
    <t>Task 6</t>
  </si>
  <si>
    <t>Count the number of male employees.</t>
  </si>
  <si>
    <t>Task 7</t>
  </si>
  <si>
    <t>Count the number of female employees.</t>
  </si>
  <si>
    <t>Task 8</t>
  </si>
  <si>
    <t>Find the average experience.</t>
  </si>
  <si>
    <t>Task 9</t>
  </si>
  <si>
    <t>Find the youngest employee.</t>
  </si>
  <si>
    <t>Task 10</t>
  </si>
  <si>
    <t>Find the oldest employee.</t>
  </si>
  <si>
    <t>Find the total  Salary  paid by Company.</t>
  </si>
  <si>
    <t>Task 11 (IF)</t>
  </si>
  <si>
    <r>
      <t xml:space="preserve">If salary is </t>
    </r>
    <r>
      <rPr>
        <b/>
        <sz val="11"/>
        <color theme="1"/>
        <rFont val="Aptos Narrow"/>
        <family val="2"/>
        <scheme val="minor"/>
      </rPr>
      <t>≥ 100000</t>
    </r>
    <r>
      <rPr>
        <sz val="11"/>
        <color theme="1"/>
        <rFont val="Aptos Narrow"/>
        <family val="2"/>
        <scheme val="minor"/>
      </rPr>
      <t xml:space="preserve">, return </t>
    </r>
    <r>
      <rPr>
        <b/>
        <sz val="11"/>
        <color theme="1"/>
        <rFont val="Aptos Narrow"/>
        <family val="2"/>
        <scheme val="minor"/>
      </rPr>
      <t>"High Salary"</t>
    </r>
    <r>
      <rPr>
        <sz val="11"/>
        <color theme="1"/>
        <rFont val="Aptos Narrow"/>
        <family val="2"/>
        <scheme val="minor"/>
      </rPr>
      <t xml:space="preserve">, otherwise </t>
    </r>
    <r>
      <rPr>
        <b/>
        <sz val="11"/>
        <color theme="1"/>
        <rFont val="Aptos Narrow"/>
        <family val="2"/>
        <scheme val="minor"/>
      </rPr>
      <t>"Normal Salary"</t>
    </r>
    <r>
      <rPr>
        <sz val="11"/>
        <color theme="1"/>
        <rFont val="Aptos Narrow"/>
        <family val="2"/>
        <scheme val="minor"/>
      </rPr>
      <t>.</t>
    </r>
  </si>
  <si>
    <t>Task 12 (IF)</t>
  </si>
  <si>
    <r>
      <t xml:space="preserve">If experience is </t>
    </r>
    <r>
      <rPr>
        <b/>
        <sz val="11"/>
        <color theme="1"/>
        <rFont val="Aptos Narrow"/>
        <family val="2"/>
        <scheme val="minor"/>
      </rPr>
      <t>≥ 5 years</t>
    </r>
    <r>
      <rPr>
        <sz val="11"/>
        <color theme="1"/>
        <rFont val="Aptos Narrow"/>
        <family val="2"/>
        <scheme val="minor"/>
      </rPr>
      <t xml:space="preserve">, return </t>
    </r>
    <r>
      <rPr>
        <b/>
        <sz val="11"/>
        <color theme="1"/>
        <rFont val="Aptos Narrow"/>
        <family val="2"/>
        <scheme val="minor"/>
      </rPr>
      <t>"Senior"</t>
    </r>
    <r>
      <rPr>
        <sz val="11"/>
        <color theme="1"/>
        <rFont val="Aptos Narrow"/>
        <family val="2"/>
        <scheme val="minor"/>
      </rPr>
      <t xml:space="preserve">, otherwise </t>
    </r>
    <r>
      <rPr>
        <b/>
        <sz val="11"/>
        <color theme="1"/>
        <rFont val="Aptos Narrow"/>
        <family val="2"/>
        <scheme val="minor"/>
      </rPr>
      <t>"Junior"</t>
    </r>
    <r>
      <rPr>
        <sz val="11"/>
        <color theme="1"/>
        <rFont val="Aptos Narrow"/>
        <family val="2"/>
        <scheme val="minor"/>
      </rPr>
      <t>.</t>
    </r>
  </si>
  <si>
    <t>Task 13 (IFS)</t>
  </si>
  <si>
    <t>Assign performance grades:</t>
  </si>
  <si>
    <t>90+ → A</t>
  </si>
  <si>
    <t>80–89 → B</t>
  </si>
  <si>
    <t>70–79 → C</t>
  </si>
  <si>
    <t>60–69 → D</t>
  </si>
  <si>
    <t>Below 60 → Fail</t>
  </si>
  <si>
    <t>Task 14 (AND)</t>
  </si>
  <si>
    <t>Promotion Eligible if:</t>
  </si>
  <si>
    <t>Experience ≥ 5 years</t>
  </si>
  <si>
    <t>Performance Rating ≥ 4</t>
  </si>
  <si>
    <t>Task 15 (OR)</t>
  </si>
  <si>
    <t>Bonus Eligible if:</t>
  </si>
  <si>
    <t>Salary ≥ 80000</t>
  </si>
  <si>
    <t>Experience ≥ 10 years</t>
  </si>
  <si>
    <t>Task 16 (IFERROR)</t>
  </si>
  <si>
    <t>High_OR_LOW_Salary</t>
  </si>
  <si>
    <t>Exp_SR_JR</t>
  </si>
  <si>
    <t>Promotion_Eligibility</t>
  </si>
  <si>
    <t>Work_Rating</t>
  </si>
  <si>
    <t>Bonus_Eligibility</t>
  </si>
  <si>
    <t>Salary_Per_Experience_Year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</si>
</sst>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_ [$₹-4009]\ * #,##0.00_ ;_ [$₹-4009]\ * \-#,##0.00_ ;_ [$₹-4009]\ * &quot;-&quot;??_ ;_ @_ "/>
    <numFmt numFmtId="165" formatCode="&quot;₹&quot;\ #,##0.00"/>
    <numFmt numFmtId="166" formatCode="&quot;₹&quot;\ #,##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/>
    <xf numFmtId="166" fontId="0" fillId="0" borderId="0" xfId="0" applyNumberFormat="1"/>
    <xf numFmtId="165" fontId="0" fillId="0" borderId="0" xfId="42" applyNumberFormat="1" applyFont="1"/>
    <xf numFmtId="165" fontId="0" fillId="0" borderId="0" xfId="0" applyNumberFormat="1"/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3" fillId="33" borderId="0" xfId="0" applyFont="1" applyFill="1" applyAlignment="1">
      <alignment horizontal="center"/>
    </xf>
    <xf numFmtId="0" fontId="13" fillId="33" borderId="0" xfId="0" applyFont="1" applyFill="1"/>
    <xf numFmtId="165" fontId="13" fillId="33" borderId="0" xfId="0" applyNumberFormat="1" applyFont="1" applyFill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numFmt numFmtId="165" formatCode="&quot;₹&quot;\ #,##0.00"/>
      <alignment horizontal="center" vertical="bottom" textRotation="0" wrapText="0" indent="0" justifyLastLine="0" shrinkToFit="0" readingOrder="0"/>
    </dxf>
    <dxf>
      <numFmt numFmtId="165" formatCode="&quot;₹&quot;\ 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18E7C1-7CC7-4A2C-A21D-27037A2AD8F1}" name="Employee" displayName="Employee" ref="A1:I52" totalsRowCount="1" dataDxfId="18">
  <autoFilter ref="A1:I51" xr:uid="{2718E7C1-7CC7-4A2C-A21D-27037A2AD8F1}"/>
  <tableColumns count="9">
    <tableColumn id="1" xr3:uid="{3FE1437F-C83C-428B-B8CC-FD3A5B6AB651}" name="EmployeeID" dataDxfId="17" totalsRowDxfId="16"/>
    <tableColumn id="2" xr3:uid="{FC245331-D0B7-450B-8C9E-F4D938AA8470}" name="Name" dataDxfId="15" totalsRowDxfId="14"/>
    <tableColumn id="3" xr3:uid="{E1EB2A29-9B08-4D60-B46D-54BE709E2B2F}" name="Department" dataDxfId="13" totalsRowDxfId="12"/>
    <tableColumn id="4" xr3:uid="{0EA88646-7B73-4F02-ACC2-21F44BFFC09F}" name="Experience_Years" dataDxfId="11" totalsRowDxfId="10"/>
    <tableColumn id="5" xr3:uid="{01E7E375-BF4B-4093-9FC6-3263F19D73EA}" name="Education_Level" dataDxfId="9" totalsRowDxfId="8"/>
    <tableColumn id="6" xr3:uid="{578B9F9E-9E0C-4922-8A00-5B08141A3B8C}" name="Age" dataDxfId="7" totalsRowDxfId="6"/>
    <tableColumn id="7" xr3:uid="{A2EEA6C3-EA14-4A3F-B4C7-7C79EE261694}" name="Gender" dataDxfId="5" totalsRowDxfId="4"/>
    <tableColumn id="8" xr3:uid="{33708B50-DB99-435A-B5E2-12CD5F5AFC20}" name="City" dataDxfId="3" totalsRowDxfId="2"/>
    <tableColumn id="9" xr3:uid="{6094140B-7232-4F15-A9CD-C3727C940FCC}" name="Monthly_Salary" totalsRowFunction="custom" dataDxfId="1" totalsRowDxfId="0">
      <totalsRowFormula>SUBTOTAL(9,I2:I51)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D02A6-D6BB-42CA-8438-F194A13295FC}">
  <dimension ref="A1:L68"/>
  <sheetViews>
    <sheetView workbookViewId="0">
      <selection activeCell="L3" sqref="L3"/>
    </sheetView>
  </sheetViews>
  <sheetFormatPr defaultRowHeight="14.4" x14ac:dyDescent="0.3"/>
  <cols>
    <col min="1" max="1" width="13.21875" bestFit="1" customWidth="1"/>
    <col min="2" max="2" width="16.109375" customWidth="1"/>
    <col min="3" max="3" width="13.21875" bestFit="1" customWidth="1"/>
    <col min="4" max="4" width="17.88671875" bestFit="1" customWidth="1"/>
    <col min="5" max="5" width="16.33203125" customWidth="1"/>
    <col min="6" max="6" width="6.21875" bestFit="1" customWidth="1"/>
    <col min="7" max="7" width="9.33203125" bestFit="1" customWidth="1"/>
    <col min="8" max="8" width="9.77734375" bestFit="1" customWidth="1"/>
    <col min="9" max="9" width="25.88671875" customWidth="1"/>
    <col min="12" max="12" width="13.777343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2" x14ac:dyDescent="0.3">
      <c r="A2" s="1">
        <v>1</v>
      </c>
      <c r="B2" s="1" t="s">
        <v>26</v>
      </c>
      <c r="C2" s="1" t="s">
        <v>9</v>
      </c>
      <c r="D2" s="1">
        <v>15</v>
      </c>
      <c r="E2" s="1" t="s">
        <v>10</v>
      </c>
      <c r="F2" s="1">
        <v>53</v>
      </c>
      <c r="G2" s="1" t="s">
        <v>11</v>
      </c>
      <c r="H2" s="1" t="s">
        <v>12</v>
      </c>
      <c r="I2" s="3">
        <v>111416</v>
      </c>
    </row>
    <row r="3" spans="1:12" x14ac:dyDescent="0.3">
      <c r="A3" s="1">
        <v>2</v>
      </c>
      <c r="B3" s="1" t="s">
        <v>30</v>
      </c>
      <c r="C3" s="1" t="s">
        <v>13</v>
      </c>
      <c r="D3" s="1">
        <v>7</v>
      </c>
      <c r="E3" s="1" t="s">
        <v>14</v>
      </c>
      <c r="F3" s="1">
        <v>25</v>
      </c>
      <c r="G3" s="1" t="s">
        <v>11</v>
      </c>
      <c r="H3" s="1" t="s">
        <v>15</v>
      </c>
      <c r="I3" s="3">
        <v>95271</v>
      </c>
    </row>
    <row r="4" spans="1:12" x14ac:dyDescent="0.3">
      <c r="A4" s="1">
        <v>3</v>
      </c>
      <c r="B4" s="1" t="s">
        <v>31</v>
      </c>
      <c r="C4" s="1" t="s">
        <v>16</v>
      </c>
      <c r="D4" s="1">
        <v>12</v>
      </c>
      <c r="E4" s="1" t="s">
        <v>17</v>
      </c>
      <c r="F4" s="1">
        <v>51</v>
      </c>
      <c r="G4" s="1" t="s">
        <v>11</v>
      </c>
      <c r="H4" s="1" t="s">
        <v>18</v>
      </c>
      <c r="I4" s="3">
        <v>69064</v>
      </c>
      <c r="L4" s="4"/>
    </row>
    <row r="5" spans="1:12" x14ac:dyDescent="0.3">
      <c r="A5" s="1">
        <v>4</v>
      </c>
      <c r="B5" s="1" t="s">
        <v>25</v>
      </c>
      <c r="C5" s="1" t="s">
        <v>13</v>
      </c>
      <c r="D5" s="1">
        <v>8</v>
      </c>
      <c r="E5" s="1" t="s">
        <v>19</v>
      </c>
      <c r="F5" s="1">
        <v>44</v>
      </c>
      <c r="G5" s="1" t="s">
        <v>20</v>
      </c>
      <c r="H5" s="1" t="s">
        <v>12</v>
      </c>
      <c r="I5" s="3">
        <v>95091</v>
      </c>
    </row>
    <row r="6" spans="1:12" x14ac:dyDescent="0.3">
      <c r="A6" s="1">
        <v>5</v>
      </c>
      <c r="B6" s="1" t="s">
        <v>32</v>
      </c>
      <c r="C6" s="1" t="s">
        <v>13</v>
      </c>
      <c r="D6" s="1">
        <v>15</v>
      </c>
      <c r="E6" s="1" t="s">
        <v>10</v>
      </c>
      <c r="F6" s="1">
        <v>36</v>
      </c>
      <c r="G6" s="1" t="s">
        <v>11</v>
      </c>
      <c r="H6" s="1" t="s">
        <v>12</v>
      </c>
      <c r="I6" s="3">
        <v>132450</v>
      </c>
    </row>
    <row r="7" spans="1:12" x14ac:dyDescent="0.3">
      <c r="A7" s="1">
        <v>6</v>
      </c>
      <c r="B7" s="1" t="s">
        <v>54</v>
      </c>
      <c r="C7" s="1" t="s">
        <v>21</v>
      </c>
      <c r="D7" s="1">
        <v>3</v>
      </c>
      <c r="E7" s="1" t="s">
        <v>17</v>
      </c>
      <c r="F7" s="1">
        <v>50</v>
      </c>
      <c r="G7" s="1" t="s">
        <v>20</v>
      </c>
      <c r="H7" s="1" t="s">
        <v>22</v>
      </c>
      <c r="I7" s="3">
        <v>65818</v>
      </c>
      <c r="L7" s="4"/>
    </row>
    <row r="8" spans="1:12" x14ac:dyDescent="0.3">
      <c r="A8" s="1">
        <v>7</v>
      </c>
      <c r="B8" s="1" t="s">
        <v>55</v>
      </c>
      <c r="C8" s="1" t="s">
        <v>16</v>
      </c>
      <c r="D8" s="1">
        <v>14</v>
      </c>
      <c r="E8" s="1" t="s">
        <v>19</v>
      </c>
      <c r="F8" s="1">
        <v>57</v>
      </c>
      <c r="G8" s="1" t="s">
        <v>20</v>
      </c>
      <c r="H8" s="1" t="s">
        <v>22</v>
      </c>
      <c r="I8" s="3">
        <v>70525</v>
      </c>
    </row>
    <row r="9" spans="1:12" x14ac:dyDescent="0.3">
      <c r="A9" s="1">
        <v>8</v>
      </c>
      <c r="B9" s="1" t="s">
        <v>33</v>
      </c>
      <c r="C9" s="1" t="s">
        <v>16</v>
      </c>
      <c r="D9" s="1">
        <v>17</v>
      </c>
      <c r="E9" s="1" t="s">
        <v>19</v>
      </c>
      <c r="F9" s="1">
        <v>34</v>
      </c>
      <c r="G9" s="1" t="s">
        <v>11</v>
      </c>
      <c r="H9" s="1" t="s">
        <v>15</v>
      </c>
      <c r="I9" s="3">
        <v>44830</v>
      </c>
    </row>
    <row r="10" spans="1:12" x14ac:dyDescent="0.3">
      <c r="A10" s="1">
        <v>9</v>
      </c>
      <c r="B10" s="1" t="s">
        <v>56</v>
      </c>
      <c r="C10" s="1" t="s">
        <v>16</v>
      </c>
      <c r="D10" s="1">
        <v>4</v>
      </c>
      <c r="E10" s="1" t="s">
        <v>14</v>
      </c>
      <c r="F10" s="1">
        <v>53</v>
      </c>
      <c r="G10" s="1" t="s">
        <v>20</v>
      </c>
      <c r="H10" s="1" t="s">
        <v>18</v>
      </c>
      <c r="I10" s="3">
        <v>42429</v>
      </c>
    </row>
    <row r="11" spans="1:12" ht="14.4" customHeight="1" x14ac:dyDescent="0.3">
      <c r="A11" s="1">
        <v>10</v>
      </c>
      <c r="B11" s="1" t="s">
        <v>57</v>
      </c>
      <c r="C11" s="1" t="s">
        <v>13</v>
      </c>
      <c r="D11" s="1">
        <v>18</v>
      </c>
      <c r="E11" s="1" t="s">
        <v>17</v>
      </c>
      <c r="F11" s="1">
        <v>28</v>
      </c>
      <c r="G11" s="1" t="s">
        <v>20</v>
      </c>
      <c r="H11" s="1" t="s">
        <v>22</v>
      </c>
      <c r="I11" s="3">
        <v>31893</v>
      </c>
    </row>
    <row r="12" spans="1:12" x14ac:dyDescent="0.3">
      <c r="A12" s="1">
        <v>11</v>
      </c>
      <c r="B12" s="1" t="s">
        <v>58</v>
      </c>
      <c r="C12" s="1" t="s">
        <v>9</v>
      </c>
      <c r="D12" s="1">
        <v>8</v>
      </c>
      <c r="E12" s="1" t="s">
        <v>19</v>
      </c>
      <c r="F12" s="1">
        <v>43</v>
      </c>
      <c r="G12" s="1" t="s">
        <v>20</v>
      </c>
      <c r="H12" s="1" t="s">
        <v>12</v>
      </c>
      <c r="I12" s="3">
        <v>141381</v>
      </c>
    </row>
    <row r="13" spans="1:12" x14ac:dyDescent="0.3">
      <c r="A13" s="1">
        <v>12</v>
      </c>
      <c r="B13" s="1" t="s">
        <v>34</v>
      </c>
      <c r="C13" s="1" t="s">
        <v>16</v>
      </c>
      <c r="D13" s="1">
        <v>4</v>
      </c>
      <c r="E13" s="1" t="s">
        <v>10</v>
      </c>
      <c r="F13" s="1">
        <v>49</v>
      </c>
      <c r="G13" s="1" t="s">
        <v>11</v>
      </c>
      <c r="H13" s="1" t="s">
        <v>18</v>
      </c>
      <c r="I13" s="3">
        <v>104909</v>
      </c>
      <c r="L13" s="4"/>
    </row>
    <row r="14" spans="1:12" x14ac:dyDescent="0.3">
      <c r="A14" s="1">
        <v>13</v>
      </c>
      <c r="B14" s="1" t="s">
        <v>35</v>
      </c>
      <c r="C14" s="1" t="s">
        <v>13</v>
      </c>
      <c r="D14" s="1">
        <v>2</v>
      </c>
      <c r="E14" s="1" t="s">
        <v>10</v>
      </c>
      <c r="F14" s="1">
        <v>23</v>
      </c>
      <c r="G14" s="1" t="s">
        <v>11</v>
      </c>
      <c r="H14" s="1" t="s">
        <v>18</v>
      </c>
      <c r="I14" s="3">
        <v>72333</v>
      </c>
    </row>
    <row r="15" spans="1:12" x14ac:dyDescent="0.3">
      <c r="A15" s="1">
        <v>14</v>
      </c>
      <c r="B15" s="1" t="s">
        <v>59</v>
      </c>
      <c r="C15" s="1" t="s">
        <v>21</v>
      </c>
      <c r="D15" s="1">
        <v>6</v>
      </c>
      <c r="E15" s="1" t="s">
        <v>14</v>
      </c>
      <c r="F15" s="1">
        <v>27</v>
      </c>
      <c r="G15" s="1" t="s">
        <v>20</v>
      </c>
      <c r="H15" s="1" t="s">
        <v>12</v>
      </c>
      <c r="I15" s="3">
        <v>28436</v>
      </c>
    </row>
    <row r="16" spans="1:12" x14ac:dyDescent="0.3">
      <c r="A16" s="1">
        <v>15</v>
      </c>
      <c r="B16" s="1" t="s">
        <v>36</v>
      </c>
      <c r="C16" s="1" t="s">
        <v>9</v>
      </c>
      <c r="D16" s="1">
        <v>10</v>
      </c>
      <c r="E16" s="1" t="s">
        <v>19</v>
      </c>
      <c r="F16" s="1">
        <v>49</v>
      </c>
      <c r="G16" s="1" t="s">
        <v>11</v>
      </c>
      <c r="H16" s="1" t="s">
        <v>22</v>
      </c>
      <c r="I16" s="3">
        <v>99290</v>
      </c>
      <c r="L16" s="6"/>
    </row>
    <row r="17" spans="1:12" x14ac:dyDescent="0.3">
      <c r="A17" s="1">
        <v>16</v>
      </c>
      <c r="B17" s="1" t="s">
        <v>37</v>
      </c>
      <c r="C17" s="1" t="s">
        <v>21</v>
      </c>
      <c r="D17" s="1">
        <v>4</v>
      </c>
      <c r="E17" s="1" t="s">
        <v>17</v>
      </c>
      <c r="F17" s="1">
        <v>49</v>
      </c>
      <c r="G17" s="1" t="s">
        <v>11</v>
      </c>
      <c r="H17" s="1" t="s">
        <v>12</v>
      </c>
      <c r="I17" s="3">
        <v>101213</v>
      </c>
    </row>
    <row r="18" spans="1:12" x14ac:dyDescent="0.3">
      <c r="A18" s="1">
        <v>17</v>
      </c>
      <c r="B18" s="1" t="s">
        <v>38</v>
      </c>
      <c r="C18" s="1" t="s">
        <v>9</v>
      </c>
      <c r="D18" s="1">
        <v>18</v>
      </c>
      <c r="E18" s="1" t="s">
        <v>10</v>
      </c>
      <c r="F18" s="1">
        <v>41</v>
      </c>
      <c r="G18" s="1" t="s">
        <v>11</v>
      </c>
      <c r="H18" s="1" t="s">
        <v>18</v>
      </c>
      <c r="I18" s="3">
        <v>30895</v>
      </c>
    </row>
    <row r="19" spans="1:12" x14ac:dyDescent="0.3">
      <c r="A19" s="1">
        <v>18</v>
      </c>
      <c r="B19" s="1" t="s">
        <v>39</v>
      </c>
      <c r="C19" s="1" t="s">
        <v>13</v>
      </c>
      <c r="D19" s="1">
        <v>12</v>
      </c>
      <c r="E19" s="1" t="s">
        <v>19</v>
      </c>
      <c r="F19" s="1">
        <v>51</v>
      </c>
      <c r="G19" s="1" t="s">
        <v>11</v>
      </c>
      <c r="H19" s="1" t="s">
        <v>23</v>
      </c>
      <c r="I19" s="3">
        <v>44738</v>
      </c>
      <c r="L19" s="7"/>
    </row>
    <row r="20" spans="1:12" x14ac:dyDescent="0.3">
      <c r="A20" s="1">
        <v>19</v>
      </c>
      <c r="B20" s="1" t="s">
        <v>60</v>
      </c>
      <c r="C20" s="1" t="s">
        <v>24</v>
      </c>
      <c r="D20" s="1">
        <v>2</v>
      </c>
      <c r="E20" s="1" t="s">
        <v>19</v>
      </c>
      <c r="F20" s="1">
        <v>32</v>
      </c>
      <c r="G20" s="1" t="s">
        <v>20</v>
      </c>
      <c r="H20" s="1" t="s">
        <v>23</v>
      </c>
      <c r="I20" s="3">
        <v>55746</v>
      </c>
      <c r="L20" s="7"/>
    </row>
    <row r="21" spans="1:12" x14ac:dyDescent="0.3">
      <c r="A21" s="1">
        <v>20</v>
      </c>
      <c r="B21" s="1" t="s">
        <v>61</v>
      </c>
      <c r="C21" s="1" t="s">
        <v>9</v>
      </c>
      <c r="D21" s="1">
        <v>10</v>
      </c>
      <c r="E21" s="1" t="s">
        <v>14</v>
      </c>
      <c r="F21" s="1">
        <v>49</v>
      </c>
      <c r="G21" s="1" t="s">
        <v>20</v>
      </c>
      <c r="H21" s="1" t="s">
        <v>15</v>
      </c>
      <c r="I21" s="3">
        <v>74377</v>
      </c>
      <c r="L21" s="7"/>
    </row>
    <row r="22" spans="1:12" x14ac:dyDescent="0.3">
      <c r="A22" s="1">
        <v>21</v>
      </c>
      <c r="B22" s="1" t="s">
        <v>40</v>
      </c>
      <c r="C22" s="1" t="s">
        <v>21</v>
      </c>
      <c r="D22" s="1">
        <v>4</v>
      </c>
      <c r="E22" s="1" t="s">
        <v>10</v>
      </c>
      <c r="F22" s="1">
        <v>46</v>
      </c>
      <c r="G22" s="1" t="s">
        <v>11</v>
      </c>
      <c r="H22" s="1" t="s">
        <v>12</v>
      </c>
      <c r="I22" s="3">
        <v>73404</v>
      </c>
      <c r="L22" s="7"/>
    </row>
    <row r="23" spans="1:12" x14ac:dyDescent="0.3">
      <c r="A23" s="1">
        <v>22</v>
      </c>
      <c r="B23" s="1" t="s">
        <v>41</v>
      </c>
      <c r="C23" s="1" t="s">
        <v>13</v>
      </c>
      <c r="D23" s="1">
        <v>14</v>
      </c>
      <c r="E23" s="1" t="s">
        <v>10</v>
      </c>
      <c r="F23" s="1">
        <v>54</v>
      </c>
      <c r="G23" s="1" t="s">
        <v>11</v>
      </c>
      <c r="H23" s="1" t="s">
        <v>12</v>
      </c>
      <c r="I23" s="3">
        <v>79045</v>
      </c>
      <c r="L23" s="7"/>
    </row>
    <row r="24" spans="1:12" x14ac:dyDescent="0.3">
      <c r="A24" s="1">
        <v>23</v>
      </c>
      <c r="B24" s="1" t="s">
        <v>62</v>
      </c>
      <c r="C24" s="1" t="s">
        <v>9</v>
      </c>
      <c r="D24" s="1">
        <v>16</v>
      </c>
      <c r="E24" s="1" t="s">
        <v>17</v>
      </c>
      <c r="F24" s="1">
        <v>22</v>
      </c>
      <c r="G24" s="1" t="s">
        <v>20</v>
      </c>
      <c r="H24" s="1" t="s">
        <v>15</v>
      </c>
      <c r="I24" s="3">
        <v>122888</v>
      </c>
      <c r="L24" s="7"/>
    </row>
    <row r="25" spans="1:12" x14ac:dyDescent="0.3">
      <c r="A25" s="1">
        <v>24</v>
      </c>
      <c r="B25" s="1" t="s">
        <v>63</v>
      </c>
      <c r="C25" s="1" t="s">
        <v>24</v>
      </c>
      <c r="D25" s="1">
        <v>15</v>
      </c>
      <c r="E25" s="1" t="s">
        <v>10</v>
      </c>
      <c r="F25" s="1">
        <v>48</v>
      </c>
      <c r="G25" s="1" t="s">
        <v>20</v>
      </c>
      <c r="H25" s="1" t="s">
        <v>15</v>
      </c>
      <c r="I25" s="3">
        <v>64790</v>
      </c>
      <c r="L25" s="7"/>
    </row>
    <row r="26" spans="1:12" x14ac:dyDescent="0.3">
      <c r="A26" s="1">
        <v>25</v>
      </c>
      <c r="B26" s="1" t="s">
        <v>42</v>
      </c>
      <c r="C26" s="1" t="s">
        <v>24</v>
      </c>
      <c r="D26" s="1">
        <v>8</v>
      </c>
      <c r="E26" s="1" t="s">
        <v>17</v>
      </c>
      <c r="F26" s="1">
        <v>34</v>
      </c>
      <c r="G26" s="1" t="s">
        <v>11</v>
      </c>
      <c r="H26" s="1" t="s">
        <v>15</v>
      </c>
      <c r="I26" s="3">
        <v>132455</v>
      </c>
      <c r="L26" s="7"/>
    </row>
    <row r="27" spans="1:12" x14ac:dyDescent="0.3">
      <c r="A27" s="1">
        <v>26</v>
      </c>
      <c r="B27" s="1" t="s">
        <v>64</v>
      </c>
      <c r="C27" s="1" t="s">
        <v>16</v>
      </c>
      <c r="D27" s="1">
        <v>14</v>
      </c>
      <c r="E27" s="1" t="s">
        <v>10</v>
      </c>
      <c r="F27" s="1">
        <v>24</v>
      </c>
      <c r="G27" s="1" t="s">
        <v>20</v>
      </c>
      <c r="H27" s="1" t="s">
        <v>18</v>
      </c>
      <c r="I27" s="3">
        <v>30600</v>
      </c>
      <c r="L27" s="7"/>
    </row>
    <row r="28" spans="1:12" x14ac:dyDescent="0.3">
      <c r="A28" s="1">
        <v>27</v>
      </c>
      <c r="B28" s="1" t="s">
        <v>43</v>
      </c>
      <c r="C28" s="1" t="s">
        <v>16</v>
      </c>
      <c r="D28" s="1">
        <v>8</v>
      </c>
      <c r="E28" s="1" t="s">
        <v>14</v>
      </c>
      <c r="F28" s="1">
        <v>27</v>
      </c>
      <c r="G28" s="1" t="s">
        <v>11</v>
      </c>
      <c r="H28" s="1" t="s">
        <v>12</v>
      </c>
      <c r="I28" s="3">
        <v>119660</v>
      </c>
      <c r="L28" s="7"/>
    </row>
    <row r="29" spans="1:12" x14ac:dyDescent="0.3">
      <c r="A29" s="1">
        <v>28</v>
      </c>
      <c r="B29" s="1" t="s">
        <v>44</v>
      </c>
      <c r="C29" s="1" t="s">
        <v>21</v>
      </c>
      <c r="D29" s="1">
        <v>16</v>
      </c>
      <c r="E29" s="1" t="s">
        <v>10</v>
      </c>
      <c r="F29" s="1">
        <v>29</v>
      </c>
      <c r="G29" s="1" t="s">
        <v>11</v>
      </c>
      <c r="H29" s="1" t="s">
        <v>18</v>
      </c>
      <c r="I29" s="3">
        <v>118179</v>
      </c>
      <c r="L29" s="7"/>
    </row>
    <row r="30" spans="1:12" x14ac:dyDescent="0.3">
      <c r="A30" s="1">
        <v>29</v>
      </c>
      <c r="B30" s="1" t="s">
        <v>74</v>
      </c>
      <c r="C30" s="1" t="s">
        <v>9</v>
      </c>
      <c r="D30" s="1">
        <v>13</v>
      </c>
      <c r="E30" s="1" t="s">
        <v>17</v>
      </c>
      <c r="F30" s="1">
        <v>48</v>
      </c>
      <c r="G30" s="1" t="s">
        <v>20</v>
      </c>
      <c r="H30" s="1" t="s">
        <v>15</v>
      </c>
      <c r="I30" s="3">
        <v>65764</v>
      </c>
      <c r="L30" s="7"/>
    </row>
    <row r="31" spans="1:12" x14ac:dyDescent="0.3">
      <c r="A31" s="1">
        <v>30</v>
      </c>
      <c r="B31" s="1" t="s">
        <v>73</v>
      </c>
      <c r="C31" s="1" t="s">
        <v>9</v>
      </c>
      <c r="D31" s="1">
        <v>18</v>
      </c>
      <c r="E31" s="1" t="s">
        <v>17</v>
      </c>
      <c r="F31" s="1">
        <v>30</v>
      </c>
      <c r="G31" s="1" t="s">
        <v>20</v>
      </c>
      <c r="H31" s="1" t="s">
        <v>12</v>
      </c>
      <c r="I31" s="3">
        <v>99543</v>
      </c>
      <c r="L31" s="7"/>
    </row>
    <row r="32" spans="1:12" x14ac:dyDescent="0.3">
      <c r="A32" s="1">
        <v>31</v>
      </c>
      <c r="B32" s="1" t="s">
        <v>45</v>
      </c>
      <c r="C32" s="1" t="s">
        <v>16</v>
      </c>
      <c r="D32" s="1">
        <v>15</v>
      </c>
      <c r="E32" s="1" t="s">
        <v>14</v>
      </c>
      <c r="F32" s="1">
        <v>54</v>
      </c>
      <c r="G32" s="1" t="s">
        <v>11</v>
      </c>
      <c r="H32" s="1" t="s">
        <v>18</v>
      </c>
      <c r="I32" s="3">
        <v>70714</v>
      </c>
      <c r="L32" s="7"/>
    </row>
    <row r="33" spans="1:12" x14ac:dyDescent="0.3">
      <c r="A33" s="1">
        <v>32</v>
      </c>
      <c r="B33" s="1" t="s">
        <v>46</v>
      </c>
      <c r="C33" s="1" t="s">
        <v>9</v>
      </c>
      <c r="D33" s="1">
        <v>13</v>
      </c>
      <c r="E33" s="1" t="s">
        <v>10</v>
      </c>
      <c r="F33" s="1">
        <v>45</v>
      </c>
      <c r="G33" s="1" t="s">
        <v>11</v>
      </c>
      <c r="H33" s="1" t="s">
        <v>18</v>
      </c>
      <c r="I33" s="3">
        <v>81835</v>
      </c>
      <c r="L33" s="7"/>
    </row>
    <row r="34" spans="1:12" x14ac:dyDescent="0.3">
      <c r="A34" s="1">
        <v>33</v>
      </c>
      <c r="B34" s="1" t="s">
        <v>72</v>
      </c>
      <c r="C34" s="1" t="s">
        <v>9</v>
      </c>
      <c r="D34" s="1">
        <v>9</v>
      </c>
      <c r="E34" s="1" t="s">
        <v>10</v>
      </c>
      <c r="F34" s="1">
        <v>36</v>
      </c>
      <c r="G34" s="1" t="s">
        <v>20</v>
      </c>
      <c r="H34" s="1" t="s">
        <v>15</v>
      </c>
      <c r="I34" s="3">
        <v>127946</v>
      </c>
      <c r="L34" s="7"/>
    </row>
    <row r="35" spans="1:12" x14ac:dyDescent="0.3">
      <c r="A35" s="1">
        <v>34</v>
      </c>
      <c r="B35" s="1" t="s">
        <v>47</v>
      </c>
      <c r="C35" s="1" t="s">
        <v>24</v>
      </c>
      <c r="D35" s="1">
        <v>15</v>
      </c>
      <c r="E35" s="1" t="s">
        <v>14</v>
      </c>
      <c r="F35" s="1">
        <v>53</v>
      </c>
      <c r="G35" s="1" t="s">
        <v>11</v>
      </c>
      <c r="H35" s="1" t="s">
        <v>12</v>
      </c>
      <c r="I35" s="3">
        <v>134616</v>
      </c>
      <c r="L35" s="7"/>
    </row>
    <row r="36" spans="1:12" x14ac:dyDescent="0.3">
      <c r="A36" s="1">
        <v>35</v>
      </c>
      <c r="B36" s="1" t="s">
        <v>71</v>
      </c>
      <c r="C36" s="1" t="s">
        <v>16</v>
      </c>
      <c r="D36" s="1">
        <v>13</v>
      </c>
      <c r="E36" s="1" t="s">
        <v>10</v>
      </c>
      <c r="F36" s="1">
        <v>53</v>
      </c>
      <c r="G36" s="1" t="s">
        <v>20</v>
      </c>
      <c r="H36" s="1" t="s">
        <v>15</v>
      </c>
      <c r="I36" s="3">
        <v>130983</v>
      </c>
      <c r="L36" s="7"/>
    </row>
    <row r="37" spans="1:12" x14ac:dyDescent="0.3">
      <c r="A37" s="1">
        <v>36</v>
      </c>
      <c r="B37" s="1" t="s">
        <v>48</v>
      </c>
      <c r="C37" s="1" t="s">
        <v>13</v>
      </c>
      <c r="D37" s="1">
        <v>1</v>
      </c>
      <c r="E37" s="1" t="s">
        <v>10</v>
      </c>
      <c r="F37" s="1">
        <v>45</v>
      </c>
      <c r="G37" s="1" t="s">
        <v>11</v>
      </c>
      <c r="H37" s="1" t="s">
        <v>12</v>
      </c>
      <c r="I37" s="3">
        <v>98744</v>
      </c>
      <c r="L37" s="7"/>
    </row>
    <row r="38" spans="1:12" x14ac:dyDescent="0.3">
      <c r="A38" s="1">
        <v>37</v>
      </c>
      <c r="B38" s="1" t="s">
        <v>70</v>
      </c>
      <c r="C38" s="1" t="s">
        <v>16</v>
      </c>
      <c r="D38" s="1">
        <v>7</v>
      </c>
      <c r="E38" s="1" t="s">
        <v>17</v>
      </c>
      <c r="F38" s="1">
        <v>33</v>
      </c>
      <c r="G38" s="1" t="s">
        <v>20</v>
      </c>
      <c r="H38" s="1" t="s">
        <v>23</v>
      </c>
      <c r="I38" s="3">
        <v>81491</v>
      </c>
      <c r="L38" s="7"/>
    </row>
    <row r="39" spans="1:12" x14ac:dyDescent="0.3">
      <c r="A39" s="1">
        <v>38</v>
      </c>
      <c r="B39" s="1" t="s">
        <v>69</v>
      </c>
      <c r="C39" s="1" t="s">
        <v>13</v>
      </c>
      <c r="D39" s="1">
        <v>9</v>
      </c>
      <c r="E39" s="1" t="s">
        <v>10</v>
      </c>
      <c r="F39" s="1">
        <v>23</v>
      </c>
      <c r="G39" s="1" t="s">
        <v>20</v>
      </c>
      <c r="H39" s="1" t="s">
        <v>22</v>
      </c>
      <c r="I39" s="3">
        <v>149123</v>
      </c>
      <c r="L39" s="7"/>
    </row>
    <row r="40" spans="1:12" x14ac:dyDescent="0.3">
      <c r="A40" s="1">
        <v>39</v>
      </c>
      <c r="B40" s="1" t="s">
        <v>68</v>
      </c>
      <c r="C40" s="1" t="s">
        <v>24</v>
      </c>
      <c r="D40" s="1">
        <v>1</v>
      </c>
      <c r="E40" s="1" t="s">
        <v>10</v>
      </c>
      <c r="F40" s="1">
        <v>24</v>
      </c>
      <c r="G40" s="1" t="s">
        <v>20</v>
      </c>
      <c r="H40" s="1" t="s">
        <v>22</v>
      </c>
      <c r="I40" s="3">
        <v>43589</v>
      </c>
      <c r="L40" s="7"/>
    </row>
    <row r="41" spans="1:12" x14ac:dyDescent="0.3">
      <c r="A41" s="1">
        <v>40</v>
      </c>
      <c r="B41" s="1" t="s">
        <v>49</v>
      </c>
      <c r="C41" s="1" t="s">
        <v>21</v>
      </c>
      <c r="D41" s="1">
        <v>12</v>
      </c>
      <c r="E41" s="1" t="s">
        <v>14</v>
      </c>
      <c r="F41" s="1">
        <v>38</v>
      </c>
      <c r="G41" s="1" t="s">
        <v>11</v>
      </c>
      <c r="H41" s="1" t="s">
        <v>22</v>
      </c>
      <c r="I41" s="3">
        <v>68484</v>
      </c>
      <c r="L41" s="7"/>
    </row>
    <row r="42" spans="1:12" x14ac:dyDescent="0.3">
      <c r="A42" s="1">
        <v>41</v>
      </c>
      <c r="B42" s="1" t="s">
        <v>50</v>
      </c>
      <c r="C42" s="1" t="s">
        <v>9</v>
      </c>
      <c r="D42" s="1">
        <v>8</v>
      </c>
      <c r="E42" s="1" t="s">
        <v>14</v>
      </c>
      <c r="F42" s="1">
        <v>23</v>
      </c>
      <c r="G42" s="1" t="s">
        <v>11</v>
      </c>
      <c r="H42" s="1" t="s">
        <v>15</v>
      </c>
      <c r="I42" s="3">
        <v>107989</v>
      </c>
      <c r="L42" s="7"/>
    </row>
    <row r="43" spans="1:12" x14ac:dyDescent="0.3">
      <c r="A43" s="1">
        <v>42</v>
      </c>
      <c r="B43" s="1" t="s">
        <v>67</v>
      </c>
      <c r="C43" s="1" t="s">
        <v>24</v>
      </c>
      <c r="D43" s="1">
        <v>11</v>
      </c>
      <c r="E43" s="1" t="s">
        <v>19</v>
      </c>
      <c r="F43" s="1">
        <v>23</v>
      </c>
      <c r="G43" s="1" t="s">
        <v>20</v>
      </c>
      <c r="H43" s="1" t="s">
        <v>23</v>
      </c>
      <c r="I43" s="3">
        <v>61212</v>
      </c>
      <c r="L43" s="7"/>
    </row>
    <row r="44" spans="1:12" x14ac:dyDescent="0.3">
      <c r="A44" s="1">
        <v>43</v>
      </c>
      <c r="B44" s="1" t="s">
        <v>51</v>
      </c>
      <c r="C44" s="1" t="s">
        <v>9</v>
      </c>
      <c r="D44" s="1">
        <v>19</v>
      </c>
      <c r="E44" s="1" t="s">
        <v>17</v>
      </c>
      <c r="F44" s="1">
        <v>49</v>
      </c>
      <c r="G44" s="1" t="s">
        <v>11</v>
      </c>
      <c r="H44" s="1" t="s">
        <v>12</v>
      </c>
      <c r="I44" s="3">
        <v>68525</v>
      </c>
      <c r="L44" s="7"/>
    </row>
    <row r="45" spans="1:12" x14ac:dyDescent="0.3">
      <c r="A45" s="1">
        <v>44</v>
      </c>
      <c r="B45" s="1" t="s">
        <v>66</v>
      </c>
      <c r="C45" s="1" t="s">
        <v>21</v>
      </c>
      <c r="D45" s="1">
        <v>17</v>
      </c>
      <c r="E45" s="1" t="s">
        <v>10</v>
      </c>
      <c r="F45" s="1">
        <v>44</v>
      </c>
      <c r="G45" s="1" t="s">
        <v>20</v>
      </c>
      <c r="H45" s="1" t="s">
        <v>18</v>
      </c>
      <c r="I45" s="3">
        <v>72202</v>
      </c>
      <c r="L45" s="7"/>
    </row>
    <row r="46" spans="1:12" x14ac:dyDescent="0.3">
      <c r="A46" s="1">
        <v>45</v>
      </c>
      <c r="B46" s="1" t="s">
        <v>65</v>
      </c>
      <c r="C46" s="1" t="s">
        <v>21</v>
      </c>
      <c r="D46" s="1">
        <v>8</v>
      </c>
      <c r="E46" s="1" t="s">
        <v>10</v>
      </c>
      <c r="F46" s="1">
        <v>53</v>
      </c>
      <c r="G46" s="1" t="s">
        <v>20</v>
      </c>
      <c r="H46" s="1" t="s">
        <v>12</v>
      </c>
      <c r="I46" s="3">
        <v>57635</v>
      </c>
      <c r="L46" s="7"/>
    </row>
    <row r="47" spans="1:12" x14ac:dyDescent="0.3">
      <c r="A47" s="1">
        <v>46</v>
      </c>
      <c r="B47" s="1" t="s">
        <v>52</v>
      </c>
      <c r="C47" s="1" t="s">
        <v>24</v>
      </c>
      <c r="D47" s="1">
        <v>3</v>
      </c>
      <c r="E47" s="1" t="s">
        <v>19</v>
      </c>
      <c r="F47" s="1">
        <v>54</v>
      </c>
      <c r="G47" s="1" t="s">
        <v>11</v>
      </c>
      <c r="H47" s="1" t="s">
        <v>18</v>
      </c>
      <c r="I47" s="3">
        <v>88208</v>
      </c>
      <c r="L47" s="7"/>
    </row>
    <row r="48" spans="1:12" x14ac:dyDescent="0.3">
      <c r="A48" s="1">
        <v>47</v>
      </c>
      <c r="B48" s="1" t="s">
        <v>53</v>
      </c>
      <c r="C48" s="1" t="s">
        <v>21</v>
      </c>
      <c r="D48" s="1">
        <v>3</v>
      </c>
      <c r="E48" s="1" t="s">
        <v>10</v>
      </c>
      <c r="F48" s="1">
        <v>22</v>
      </c>
      <c r="G48" s="1" t="s">
        <v>11</v>
      </c>
      <c r="H48" s="1" t="s">
        <v>12</v>
      </c>
      <c r="I48" s="3">
        <v>58828</v>
      </c>
      <c r="L48" s="7"/>
    </row>
    <row r="49" spans="1:12" x14ac:dyDescent="0.3">
      <c r="A49" s="1">
        <v>48</v>
      </c>
      <c r="B49" s="1" t="s">
        <v>29</v>
      </c>
      <c r="C49" s="1" t="s">
        <v>13</v>
      </c>
      <c r="D49" s="1">
        <v>1</v>
      </c>
      <c r="E49" s="1" t="s">
        <v>17</v>
      </c>
      <c r="F49" s="1">
        <v>40</v>
      </c>
      <c r="G49" s="1" t="s">
        <v>20</v>
      </c>
      <c r="H49" s="1" t="s">
        <v>23</v>
      </c>
      <c r="I49" s="3">
        <v>43711</v>
      </c>
      <c r="L49" s="7"/>
    </row>
    <row r="50" spans="1:12" x14ac:dyDescent="0.3">
      <c r="A50" s="1">
        <v>49</v>
      </c>
      <c r="B50" s="1" t="s">
        <v>28</v>
      </c>
      <c r="C50" s="1" t="s">
        <v>21</v>
      </c>
      <c r="D50" s="1">
        <v>5</v>
      </c>
      <c r="E50" s="1" t="s">
        <v>19</v>
      </c>
      <c r="F50" s="1">
        <v>23</v>
      </c>
      <c r="G50" s="1" t="s">
        <v>11</v>
      </c>
      <c r="H50" s="1" t="s">
        <v>18</v>
      </c>
      <c r="I50" s="3">
        <v>28420</v>
      </c>
      <c r="L50" s="7"/>
    </row>
    <row r="51" spans="1:12" x14ac:dyDescent="0.3">
      <c r="A51" s="1">
        <v>50</v>
      </c>
      <c r="B51" s="1" t="s">
        <v>27</v>
      </c>
      <c r="C51" s="1" t="s">
        <v>9</v>
      </c>
      <c r="D51" s="1">
        <v>10</v>
      </c>
      <c r="E51" s="1" t="s">
        <v>17</v>
      </c>
      <c r="F51" s="1">
        <v>47</v>
      </c>
      <c r="G51" s="1" t="s">
        <v>11</v>
      </c>
      <c r="H51" s="1" t="s">
        <v>15</v>
      </c>
      <c r="I51" s="3">
        <v>121752</v>
      </c>
      <c r="L51" s="7"/>
    </row>
    <row r="52" spans="1:12" x14ac:dyDescent="0.3">
      <c r="A52" s="1"/>
      <c r="B52" s="1"/>
      <c r="C52" s="1"/>
      <c r="D52" s="1"/>
      <c r="E52" s="1"/>
      <c r="F52" s="1"/>
      <c r="G52" s="1"/>
      <c r="H52" s="1"/>
      <c r="I52" s="2">
        <f>SUBTOTAL(9,I2:I51)</f>
        <v>4114440</v>
      </c>
      <c r="L52" s="7"/>
    </row>
    <row r="53" spans="1:12" x14ac:dyDescent="0.3">
      <c r="I53" s="5">
        <f>AVERAGE(I2:I51)</f>
        <v>82288.800000000003</v>
      </c>
      <c r="L53" s="7"/>
    </row>
    <row r="54" spans="1:12" x14ac:dyDescent="0.3">
      <c r="I54" s="5">
        <f>MAX(I2:I51)</f>
        <v>149123</v>
      </c>
      <c r="L54" s="7"/>
    </row>
    <row r="55" spans="1:12" x14ac:dyDescent="0.3">
      <c r="I55" s="5">
        <f>MIN(I2:I52)</f>
        <v>28420</v>
      </c>
      <c r="L55" s="7"/>
    </row>
    <row r="56" spans="1:12" x14ac:dyDescent="0.3">
      <c r="L56" s="7"/>
    </row>
    <row r="57" spans="1:12" x14ac:dyDescent="0.3">
      <c r="L57" s="7"/>
    </row>
    <row r="58" spans="1:12" x14ac:dyDescent="0.3">
      <c r="L58" s="7"/>
    </row>
    <row r="59" spans="1:12" x14ac:dyDescent="0.3">
      <c r="L59" s="7"/>
    </row>
    <row r="60" spans="1:12" x14ac:dyDescent="0.3">
      <c r="L60" s="7"/>
    </row>
    <row r="61" spans="1:12" x14ac:dyDescent="0.3">
      <c r="L61" s="7"/>
    </row>
    <row r="62" spans="1:12" x14ac:dyDescent="0.3">
      <c r="L62" s="7"/>
    </row>
    <row r="63" spans="1:12" x14ac:dyDescent="0.3">
      <c r="L63" s="7"/>
    </row>
    <row r="64" spans="1:12" x14ac:dyDescent="0.3">
      <c r="L64" s="7"/>
    </row>
    <row r="65" spans="12:12" x14ac:dyDescent="0.3">
      <c r="L65" s="7"/>
    </row>
    <row r="66" spans="12:12" x14ac:dyDescent="0.3">
      <c r="L66" s="7"/>
    </row>
    <row r="67" spans="12:12" x14ac:dyDescent="0.3">
      <c r="L67" s="7"/>
    </row>
    <row r="68" spans="12:12" x14ac:dyDescent="0.3">
      <c r="L68" s="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4ECB3-AA30-42C5-978B-67276AEB6508}">
  <dimension ref="A1:B41"/>
  <sheetViews>
    <sheetView topLeftCell="A19" workbookViewId="0">
      <selection activeCell="B42" sqref="B42"/>
    </sheetView>
  </sheetViews>
  <sheetFormatPr defaultRowHeight="14.4" x14ac:dyDescent="0.3"/>
  <cols>
    <col min="1" max="1" width="46" bestFit="1" customWidth="1"/>
    <col min="2" max="2" width="13.109375" bestFit="1" customWidth="1"/>
  </cols>
  <sheetData>
    <row r="1" spans="1:2" ht="31.2" x14ac:dyDescent="0.3">
      <c r="A1" s="8" t="s">
        <v>75</v>
      </c>
    </row>
    <row r="3" spans="1:2" ht="18" x14ac:dyDescent="0.3">
      <c r="A3" s="9" t="s">
        <v>76</v>
      </c>
    </row>
    <row r="5" spans="1:2" x14ac:dyDescent="0.3">
      <c r="A5" t="s">
        <v>77</v>
      </c>
      <c r="B5">
        <f>COUNT(Employee[Name], Employee[EmployeeID])</f>
        <v>50</v>
      </c>
    </row>
    <row r="7" spans="1:2" ht="18" x14ac:dyDescent="0.3">
      <c r="A7" s="9" t="s">
        <v>78</v>
      </c>
    </row>
    <row r="9" spans="1:2" x14ac:dyDescent="0.3">
      <c r="A9" t="s">
        <v>79</v>
      </c>
      <c r="B9" s="5">
        <f>AVERAGE(Employee[Monthly_Salary])</f>
        <v>82288.800000000003</v>
      </c>
    </row>
    <row r="11" spans="1:2" ht="18" x14ac:dyDescent="0.3">
      <c r="A11" s="9" t="s">
        <v>80</v>
      </c>
    </row>
    <row r="13" spans="1:2" x14ac:dyDescent="0.3">
      <c r="A13" t="s">
        <v>81</v>
      </c>
      <c r="B13" s="5">
        <f>MAX(Employee[Monthly_Salary])</f>
        <v>149123</v>
      </c>
    </row>
    <row r="15" spans="1:2" ht="18" x14ac:dyDescent="0.3">
      <c r="A15" s="9" t="s">
        <v>82</v>
      </c>
    </row>
    <row r="17" spans="1:2" x14ac:dyDescent="0.3">
      <c r="A17" t="s">
        <v>83</v>
      </c>
      <c r="B17" s="5">
        <f>MIN(Employee[Monthly_Salary])</f>
        <v>28420</v>
      </c>
    </row>
    <row r="19" spans="1:2" ht="18" x14ac:dyDescent="0.3">
      <c r="A19" s="9" t="s">
        <v>84</v>
      </c>
    </row>
    <row r="21" spans="1:2" x14ac:dyDescent="0.3">
      <c r="A21" t="s">
        <v>95</v>
      </c>
      <c r="B21" s="5">
        <f>SUM(Employee[Monthly_Salary])</f>
        <v>4114440</v>
      </c>
    </row>
    <row r="23" spans="1:2" ht="18" x14ac:dyDescent="0.3">
      <c r="A23" s="9" t="s">
        <v>85</v>
      </c>
    </row>
    <row r="25" spans="1:2" x14ac:dyDescent="0.3">
      <c r="A25" t="s">
        <v>86</v>
      </c>
      <c r="B25">
        <f>COUNTIF(Employee[Gender], "Male")</f>
        <v>23</v>
      </c>
    </row>
    <row r="27" spans="1:2" ht="18" x14ac:dyDescent="0.3">
      <c r="A27" s="9" t="s">
        <v>87</v>
      </c>
    </row>
    <row r="29" spans="1:2" x14ac:dyDescent="0.3">
      <c r="A29" t="s">
        <v>88</v>
      </c>
      <c r="B29">
        <f>COUNTIF(Employee[Gender], "Female")</f>
        <v>27</v>
      </c>
    </row>
    <row r="31" spans="1:2" ht="18" x14ac:dyDescent="0.3">
      <c r="A31" s="9" t="s">
        <v>89</v>
      </c>
    </row>
    <row r="33" spans="1:2" x14ac:dyDescent="0.3">
      <c r="A33" t="s">
        <v>90</v>
      </c>
      <c r="B33">
        <f>AVERAGE(Employee[Experience_Years])</f>
        <v>9.9</v>
      </c>
    </row>
    <row r="35" spans="1:2" ht="18" x14ac:dyDescent="0.3">
      <c r="A35" s="9" t="s">
        <v>91</v>
      </c>
    </row>
    <row r="37" spans="1:2" x14ac:dyDescent="0.3">
      <c r="A37" t="s">
        <v>92</v>
      </c>
      <c r="B37">
        <f>MIN(Employee[Age])</f>
        <v>22</v>
      </c>
    </row>
    <row r="39" spans="1:2" ht="18" x14ac:dyDescent="0.3">
      <c r="A39" s="9" t="s">
        <v>93</v>
      </c>
    </row>
    <row r="41" spans="1:2" x14ac:dyDescent="0.3">
      <c r="A41" t="s">
        <v>94</v>
      </c>
      <c r="B41">
        <f>MAX(Employee[Age])</f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74A34-ECC8-4600-9C77-675E96331BD9}">
  <dimension ref="A3:S54"/>
  <sheetViews>
    <sheetView tabSelected="1" topLeftCell="A15" workbookViewId="0">
      <selection activeCell="A35" sqref="A35"/>
    </sheetView>
  </sheetViews>
  <sheetFormatPr defaultRowHeight="14.4" x14ac:dyDescent="0.3"/>
  <cols>
    <col min="1" max="1" width="57.6640625" bestFit="1" customWidth="1"/>
    <col min="5" max="5" width="10.44140625" style="1" bestFit="1" customWidth="1"/>
    <col min="6" max="6" width="17" style="1" bestFit="1" customWidth="1"/>
    <col min="7" max="7" width="10.5546875" style="1" bestFit="1" customWidth="1"/>
    <col min="8" max="8" width="15.33203125" style="1" bestFit="1" customWidth="1"/>
    <col min="9" max="9" width="14" style="1" bestFit="1" customWidth="1"/>
    <col min="10" max="10" width="8.88671875" style="1"/>
    <col min="13" max="13" width="13.6640625" bestFit="1" customWidth="1"/>
    <col min="14" max="14" width="18.44140625" style="1" bestFit="1" customWidth="1"/>
    <col min="15" max="15" width="9.5546875" bestFit="1" customWidth="1"/>
    <col min="16" max="16" width="15.77734375" style="1" bestFit="1" customWidth="1"/>
    <col min="17" max="17" width="18.5546875" bestFit="1" customWidth="1"/>
    <col min="18" max="18" width="14.77734375" bestFit="1" customWidth="1"/>
    <col min="19" max="19" width="54.88671875" style="2" bestFit="1" customWidth="1"/>
  </cols>
  <sheetData>
    <row r="3" spans="1:19" ht="18" x14ac:dyDescent="0.3">
      <c r="A3" s="9" t="s">
        <v>96</v>
      </c>
    </row>
    <row r="4" spans="1:19" x14ac:dyDescent="0.3">
      <c r="E4" s="11" t="str" cm="1">
        <f t="array" ref="E4:M4">Employee[#Headers]</f>
        <v>EmployeeID</v>
      </c>
      <c r="F4" s="11" t="str">
        <v>Name</v>
      </c>
      <c r="G4" s="11" t="str">
        <v>Department</v>
      </c>
      <c r="H4" s="11" t="str">
        <v>Experience_Years</v>
      </c>
      <c r="I4" s="11" t="str">
        <v>Education_Level</v>
      </c>
      <c r="J4" s="11" t="str">
        <v>Age</v>
      </c>
      <c r="K4" s="12" t="str">
        <v>Gender</v>
      </c>
      <c r="L4" s="12" t="str">
        <v>City</v>
      </c>
      <c r="M4" s="12" t="str">
        <v>Monthly_Salary</v>
      </c>
      <c r="N4" s="11" t="s">
        <v>116</v>
      </c>
      <c r="O4" s="12" t="s">
        <v>117</v>
      </c>
      <c r="P4" s="11" t="s">
        <v>119</v>
      </c>
      <c r="Q4" s="12" t="s">
        <v>118</v>
      </c>
      <c r="R4" s="11" t="s">
        <v>120</v>
      </c>
      <c r="S4" s="13" t="s">
        <v>121</v>
      </c>
    </row>
    <row r="5" spans="1:19" x14ac:dyDescent="0.3">
      <c r="A5" t="s">
        <v>97</v>
      </c>
      <c r="E5" s="1" cm="1">
        <f t="array" ref="E5:E54">Employee[EmployeeID]</f>
        <v>1</v>
      </c>
      <c r="F5" s="1" t="str" cm="1">
        <f t="array" ref="F5:F54">Employee[Name]</f>
        <v>MAHALAKSHMI</v>
      </c>
      <c r="G5" s="1" t="str" cm="1">
        <f t="array" ref="G5:G54">(Employee[Department])</f>
        <v>Marketing</v>
      </c>
      <c r="H5" s="1" cm="1">
        <f t="array" ref="H5:H54">(Employee[Experience_Years])</f>
        <v>15</v>
      </c>
      <c r="I5" s="1" t="str" cm="1">
        <f t="array" ref="I5:I54">(Employee[Education_Level])</f>
        <v>Master</v>
      </c>
      <c r="J5" s="1" cm="1">
        <f t="array" ref="J5:J54">(Employee[Age])</f>
        <v>53</v>
      </c>
      <c r="K5" t="str" cm="1">
        <f t="array" ref="K5:K54">(Employee[Gender])</f>
        <v>Female</v>
      </c>
      <c r="L5" t="str" cm="1">
        <f t="array" ref="L5:L54">(Employee[City])</f>
        <v>Delhi</v>
      </c>
      <c r="M5" s="5" cm="1">
        <f t="array" ref="M5:M54">(Employee[Monthly_Salary])</f>
        <v>111416</v>
      </c>
      <c r="N5" s="1" t="str" cm="1">
        <f t="array" ref="N5:N54">IF(Employee[Monthly_Salary] &gt;= 100000, "High Salary",  "Normal Salary")</f>
        <v>High Salary</v>
      </c>
      <c r="O5" t="str" cm="1">
        <f t="array" ref="O5:O54">IF(Employee[Experience_Years]&gt;=5,"Senior","Junior")</f>
        <v>Senior</v>
      </c>
      <c r="P5" s="1" t="str" cm="1">
        <f t="array" ref="P5:P54">_xlfn.IFS(Employee[Monthly_Salary] &gt;= 100000,"4.5", Employee[Monthly_Salary] &gt;= 80000,"4.0", Employee[Monthly_Salary] &gt;= 60000,"3.5",Employee[Monthly_Salary] &gt;= 50000,"3.0",Employee[Monthly_Salary] &gt;= 40000,"2.5", Employee[Monthly_Salary] &lt;  40000, "2.0")</f>
        <v>4.5</v>
      </c>
      <c r="Q5" t="str">
        <f>IF(AND(H5&gt;=5,P5&gt;=4),"Eligible","Not Eligible")</f>
        <v>Eligible</v>
      </c>
      <c r="R5" t="str">
        <f>IF(AND(H5&gt;=10,M5&gt;=80000),"Eligible","Not Eligible")</f>
        <v>Eligible</v>
      </c>
      <c r="S5" s="2" cm="1">
        <f t="array" ref="S5:S54">IFERROR(ROUND(Employee[Monthly_Salary]/Employee[Experience_Years],2),"Check Data")</f>
        <v>7427.73</v>
      </c>
    </row>
    <row r="6" spans="1:19" x14ac:dyDescent="0.3">
      <c r="E6" s="1">
        <v>2</v>
      </c>
      <c r="F6" s="1" t="str">
        <v>SAI BINDU</v>
      </c>
      <c r="G6" s="1" t="str">
        <v>Operations</v>
      </c>
      <c r="H6" s="1">
        <v>7</v>
      </c>
      <c r="I6" s="1" t="str">
        <v>Bachelor</v>
      </c>
      <c r="J6" s="1">
        <v>25</v>
      </c>
      <c r="K6" t="str">
        <v>Female</v>
      </c>
      <c r="L6" t="str">
        <v>Bangalore</v>
      </c>
      <c r="M6" s="5">
        <v>95271</v>
      </c>
      <c r="N6" s="1" t="str">
        <v>Normal Salary</v>
      </c>
      <c r="O6" t="str">
        <v>Senior</v>
      </c>
      <c r="P6" s="1" t="str">
        <v>4.0</v>
      </c>
      <c r="Q6" t="str">
        <f t="shared" ref="Q6:Q54" si="0">IF(AND(H6&gt;=5,P6&gt;=4),"Eligible","Not Eligible")</f>
        <v>Eligible</v>
      </c>
      <c r="R6" t="str">
        <f t="shared" ref="R6:R54" si="1">IF(AND(H6&gt;=10,M6&gt;=80000),"Eligible","Not Eligible")</f>
        <v>Not Eligible</v>
      </c>
      <c r="S6" s="2">
        <v>13610.14</v>
      </c>
    </row>
    <row r="7" spans="1:19" ht="18" x14ac:dyDescent="0.3">
      <c r="A7" s="9" t="s">
        <v>98</v>
      </c>
      <c r="E7" s="1">
        <v>3</v>
      </c>
      <c r="F7" s="1" t="str">
        <v>MYTHRI</v>
      </c>
      <c r="G7" s="1" t="str">
        <v>IT</v>
      </c>
      <c r="H7" s="1">
        <v>12</v>
      </c>
      <c r="I7" s="1" t="str">
        <v>High School</v>
      </c>
      <c r="J7" s="1">
        <v>51</v>
      </c>
      <c r="K7" t="str">
        <v>Female</v>
      </c>
      <c r="L7" t="str">
        <v>Hyderabad</v>
      </c>
      <c r="M7" s="5">
        <v>69064</v>
      </c>
      <c r="N7" s="1" t="str">
        <v>Normal Salary</v>
      </c>
      <c r="O7" t="str">
        <v>Senior</v>
      </c>
      <c r="P7" s="1" t="str">
        <v>3.5</v>
      </c>
      <c r="Q7" t="str">
        <f t="shared" si="0"/>
        <v>Eligible</v>
      </c>
      <c r="R7" t="str">
        <f t="shared" si="1"/>
        <v>Not Eligible</v>
      </c>
      <c r="S7" s="2">
        <v>5755.33</v>
      </c>
    </row>
    <row r="8" spans="1:19" x14ac:dyDescent="0.3">
      <c r="E8" s="1">
        <v>4</v>
      </c>
      <c r="F8" s="1" t="str">
        <v>AMAR</v>
      </c>
      <c r="G8" s="1" t="str">
        <v>Operations</v>
      </c>
      <c r="H8" s="1">
        <v>8</v>
      </c>
      <c r="I8" s="1" t="str">
        <v>PhD</v>
      </c>
      <c r="J8" s="1">
        <v>44</v>
      </c>
      <c r="K8" t="str">
        <v>Male</v>
      </c>
      <c r="L8" t="str">
        <v>Delhi</v>
      </c>
      <c r="M8" s="5">
        <v>95091</v>
      </c>
      <c r="N8" s="1" t="str">
        <v>Normal Salary</v>
      </c>
      <c r="O8" t="str">
        <v>Senior</v>
      </c>
      <c r="P8" s="1" t="str">
        <v>4.0</v>
      </c>
      <c r="Q8" t="str">
        <f t="shared" si="0"/>
        <v>Eligible</v>
      </c>
      <c r="R8" t="str">
        <f t="shared" si="1"/>
        <v>Not Eligible</v>
      </c>
      <c r="S8" s="2">
        <v>11886.38</v>
      </c>
    </row>
    <row r="9" spans="1:19" x14ac:dyDescent="0.3">
      <c r="A9" t="s">
        <v>99</v>
      </c>
      <c r="E9" s="1">
        <v>5</v>
      </c>
      <c r="F9" s="1" t="str">
        <v>MITHALI RAJ</v>
      </c>
      <c r="G9" s="1" t="str">
        <v>Operations</v>
      </c>
      <c r="H9" s="1">
        <v>15</v>
      </c>
      <c r="I9" s="1" t="str">
        <v>Master</v>
      </c>
      <c r="J9" s="1">
        <v>36</v>
      </c>
      <c r="K9" t="str">
        <v>Female</v>
      </c>
      <c r="L9" t="str">
        <v>Delhi</v>
      </c>
      <c r="M9" s="5">
        <v>132450</v>
      </c>
      <c r="N9" s="1" t="str">
        <v>High Salary</v>
      </c>
      <c r="O9" t="str">
        <v>Senior</v>
      </c>
      <c r="P9" s="1" t="str">
        <v>4.5</v>
      </c>
      <c r="Q9" t="str">
        <f t="shared" si="0"/>
        <v>Eligible</v>
      </c>
      <c r="R9" t="str">
        <f t="shared" si="1"/>
        <v>Eligible</v>
      </c>
      <c r="S9" s="2">
        <v>8830</v>
      </c>
    </row>
    <row r="10" spans="1:19" x14ac:dyDescent="0.3">
      <c r="E10" s="1">
        <v>6</v>
      </c>
      <c r="F10" s="1" t="str">
        <v>AKBAR</v>
      </c>
      <c r="G10" s="1" t="str">
        <v>Finance</v>
      </c>
      <c r="H10" s="1">
        <v>3</v>
      </c>
      <c r="I10" s="1" t="str">
        <v>High School</v>
      </c>
      <c r="J10" s="1">
        <v>50</v>
      </c>
      <c r="K10" t="str">
        <v>Male</v>
      </c>
      <c r="L10" t="str">
        <v>Mumbai</v>
      </c>
      <c r="M10" s="5">
        <v>65818</v>
      </c>
      <c r="N10" s="1" t="str">
        <v>Normal Salary</v>
      </c>
      <c r="O10" t="str">
        <v>Junior</v>
      </c>
      <c r="P10" s="1" t="str">
        <v>3.5</v>
      </c>
      <c r="Q10" t="str">
        <f t="shared" si="0"/>
        <v>Not Eligible</v>
      </c>
      <c r="R10" t="str">
        <f t="shared" si="1"/>
        <v>Not Eligible</v>
      </c>
      <c r="S10" s="2">
        <v>21939.33</v>
      </c>
    </row>
    <row r="11" spans="1:19" ht="18" x14ac:dyDescent="0.3">
      <c r="A11" s="9" t="s">
        <v>100</v>
      </c>
      <c r="E11" s="1">
        <v>7</v>
      </c>
      <c r="F11" s="1" t="str">
        <v>ANTHONY</v>
      </c>
      <c r="G11" s="1" t="str">
        <v>IT</v>
      </c>
      <c r="H11" s="1">
        <v>14</v>
      </c>
      <c r="I11" s="1" t="str">
        <v>PhD</v>
      </c>
      <c r="J11" s="1">
        <v>57</v>
      </c>
      <c r="K11" t="str">
        <v>Male</v>
      </c>
      <c r="L11" t="str">
        <v>Mumbai</v>
      </c>
      <c r="M11" s="5">
        <v>70525</v>
      </c>
      <c r="N11" s="1" t="str">
        <v>Normal Salary</v>
      </c>
      <c r="O11" t="str">
        <v>Senior</v>
      </c>
      <c r="P11" s="1" t="str">
        <v>3.5</v>
      </c>
      <c r="Q11" t="str">
        <f t="shared" si="0"/>
        <v>Eligible</v>
      </c>
      <c r="R11" t="str">
        <f t="shared" si="1"/>
        <v>Not Eligible</v>
      </c>
      <c r="S11" s="2">
        <v>5037.5</v>
      </c>
    </row>
    <row r="12" spans="1:19" x14ac:dyDescent="0.3">
      <c r="E12" s="1">
        <v>8</v>
      </c>
      <c r="F12" s="1" t="str">
        <v>MAMITA</v>
      </c>
      <c r="G12" s="1" t="str">
        <v>IT</v>
      </c>
      <c r="H12" s="1">
        <v>17</v>
      </c>
      <c r="I12" s="1" t="str">
        <v>PhD</v>
      </c>
      <c r="J12" s="1">
        <v>34</v>
      </c>
      <c r="K12" t="str">
        <v>Female</v>
      </c>
      <c r="L12" t="str">
        <v>Bangalore</v>
      </c>
      <c r="M12" s="5">
        <v>44830</v>
      </c>
      <c r="N12" s="1" t="str">
        <v>Normal Salary</v>
      </c>
      <c r="O12" t="str">
        <v>Senior</v>
      </c>
      <c r="P12" s="1" t="str">
        <v>2.5</v>
      </c>
      <c r="Q12" t="str">
        <f t="shared" si="0"/>
        <v>Eligible</v>
      </c>
      <c r="R12" t="str">
        <f t="shared" si="1"/>
        <v>Not Eligible</v>
      </c>
      <c r="S12" s="2">
        <v>2637.06</v>
      </c>
    </row>
    <row r="13" spans="1:19" x14ac:dyDescent="0.3">
      <c r="A13" t="s">
        <v>101</v>
      </c>
      <c r="E13" s="1">
        <v>9</v>
      </c>
      <c r="F13" s="1" t="str">
        <v>SAI</v>
      </c>
      <c r="G13" s="1" t="str">
        <v>IT</v>
      </c>
      <c r="H13" s="1">
        <v>4</v>
      </c>
      <c r="I13" s="1" t="str">
        <v>Bachelor</v>
      </c>
      <c r="J13" s="1">
        <v>53</v>
      </c>
      <c r="K13" t="str">
        <v>Male</v>
      </c>
      <c r="L13" t="str">
        <v>Hyderabad</v>
      </c>
      <c r="M13" s="5">
        <v>42429</v>
      </c>
      <c r="N13" s="1" t="str">
        <v>Normal Salary</v>
      </c>
      <c r="O13" t="str">
        <v>Junior</v>
      </c>
      <c r="P13" s="1" t="str">
        <v>2.5</v>
      </c>
      <c r="Q13" t="str">
        <f t="shared" si="0"/>
        <v>Not Eligible</v>
      </c>
      <c r="R13" t="str">
        <f t="shared" si="1"/>
        <v>Not Eligible</v>
      </c>
      <c r="S13" s="2">
        <v>10607.25</v>
      </c>
    </row>
    <row r="14" spans="1:19" x14ac:dyDescent="0.3">
      <c r="A14" s="10"/>
      <c r="E14" s="1">
        <v>10</v>
      </c>
      <c r="F14" s="1" t="str">
        <v>MALLIKHARJUN</v>
      </c>
      <c r="G14" s="1" t="str">
        <v>Operations</v>
      </c>
      <c r="H14" s="1">
        <v>18</v>
      </c>
      <c r="I14" s="1" t="str">
        <v>High School</v>
      </c>
      <c r="J14" s="1">
        <v>28</v>
      </c>
      <c r="K14" t="str">
        <v>Male</v>
      </c>
      <c r="L14" t="str">
        <v>Mumbai</v>
      </c>
      <c r="M14" s="5">
        <v>31893</v>
      </c>
      <c r="N14" s="1" t="str">
        <v>Normal Salary</v>
      </c>
      <c r="O14" t="str">
        <v>Senior</v>
      </c>
      <c r="P14" s="1" t="str">
        <v>2.0</v>
      </c>
      <c r="Q14" t="str">
        <f t="shared" si="0"/>
        <v>Eligible</v>
      </c>
      <c r="R14" t="str">
        <f t="shared" si="1"/>
        <v>Not Eligible</v>
      </c>
      <c r="S14" s="2">
        <v>1771.83</v>
      </c>
    </row>
    <row r="15" spans="1:19" x14ac:dyDescent="0.3">
      <c r="A15" s="10" t="s">
        <v>102</v>
      </c>
      <c r="E15" s="1">
        <v>11</v>
      </c>
      <c r="F15" s="1" t="str">
        <v>ANVESH</v>
      </c>
      <c r="G15" s="1" t="str">
        <v>Marketing</v>
      </c>
      <c r="H15" s="1">
        <v>8</v>
      </c>
      <c r="I15" s="1" t="str">
        <v>PhD</v>
      </c>
      <c r="J15" s="1">
        <v>43</v>
      </c>
      <c r="K15" t="str">
        <v>Male</v>
      </c>
      <c r="L15" t="str">
        <v>Delhi</v>
      </c>
      <c r="M15" s="5">
        <v>141381</v>
      </c>
      <c r="N15" s="1" t="str">
        <v>High Salary</v>
      </c>
      <c r="O15" t="str">
        <v>Senior</v>
      </c>
      <c r="P15" s="1" t="str">
        <v>4.5</v>
      </c>
      <c r="Q15" t="str">
        <f t="shared" si="0"/>
        <v>Eligible</v>
      </c>
      <c r="R15" t="str">
        <f t="shared" si="1"/>
        <v>Not Eligible</v>
      </c>
      <c r="S15" s="2">
        <v>17672.63</v>
      </c>
    </row>
    <row r="16" spans="1:19" x14ac:dyDescent="0.3">
      <c r="A16" s="10" t="s">
        <v>103</v>
      </c>
      <c r="E16" s="1">
        <v>12</v>
      </c>
      <c r="F16" s="1" t="str">
        <v>NITHYA</v>
      </c>
      <c r="G16" s="1" t="str">
        <v>IT</v>
      </c>
      <c r="H16" s="1">
        <v>4</v>
      </c>
      <c r="I16" s="1" t="str">
        <v>Master</v>
      </c>
      <c r="J16" s="1">
        <v>49</v>
      </c>
      <c r="K16" t="str">
        <v>Female</v>
      </c>
      <c r="L16" t="str">
        <v>Hyderabad</v>
      </c>
      <c r="M16" s="5">
        <v>104909</v>
      </c>
      <c r="N16" s="1" t="str">
        <v>High Salary</v>
      </c>
      <c r="O16" t="str">
        <v>Junior</v>
      </c>
      <c r="P16" s="1" t="str">
        <v>4.5</v>
      </c>
      <c r="Q16" t="str">
        <f t="shared" si="0"/>
        <v>Not Eligible</v>
      </c>
      <c r="R16" t="str">
        <f t="shared" si="1"/>
        <v>Not Eligible</v>
      </c>
      <c r="S16" s="2">
        <v>26227.25</v>
      </c>
    </row>
    <row r="17" spans="1:19" x14ac:dyDescent="0.3">
      <c r="A17" s="10" t="s">
        <v>104</v>
      </c>
      <c r="E17" s="1">
        <v>13</v>
      </c>
      <c r="F17" s="1" t="str">
        <v>MEGHANA</v>
      </c>
      <c r="G17" s="1" t="str">
        <v>Operations</v>
      </c>
      <c r="H17" s="1">
        <v>2</v>
      </c>
      <c r="I17" s="1" t="str">
        <v>Master</v>
      </c>
      <c r="J17" s="1">
        <v>23</v>
      </c>
      <c r="K17" t="str">
        <v>Female</v>
      </c>
      <c r="L17" t="str">
        <v>Hyderabad</v>
      </c>
      <c r="M17" s="5">
        <v>72333</v>
      </c>
      <c r="N17" s="1" t="str">
        <v>Normal Salary</v>
      </c>
      <c r="O17" t="str">
        <v>Junior</v>
      </c>
      <c r="P17" s="1" t="str">
        <v>3.5</v>
      </c>
      <c r="Q17" t="str">
        <f t="shared" si="0"/>
        <v>Not Eligible</v>
      </c>
      <c r="R17" t="str">
        <f t="shared" si="1"/>
        <v>Not Eligible</v>
      </c>
      <c r="S17" s="2">
        <v>36166.5</v>
      </c>
    </row>
    <row r="18" spans="1:19" x14ac:dyDescent="0.3">
      <c r="A18" s="10" t="s">
        <v>105</v>
      </c>
      <c r="E18" s="1">
        <v>14</v>
      </c>
      <c r="F18" s="1" t="str">
        <v>SHIRISH</v>
      </c>
      <c r="G18" s="1" t="str">
        <v>Finance</v>
      </c>
      <c r="H18" s="1">
        <v>6</v>
      </c>
      <c r="I18" s="1" t="str">
        <v>Bachelor</v>
      </c>
      <c r="J18" s="1">
        <v>27</v>
      </c>
      <c r="K18" t="str">
        <v>Male</v>
      </c>
      <c r="L18" t="str">
        <v>Delhi</v>
      </c>
      <c r="M18" s="5">
        <v>28436</v>
      </c>
      <c r="N18" s="1" t="str">
        <v>Normal Salary</v>
      </c>
      <c r="O18" t="str">
        <v>Senior</v>
      </c>
      <c r="P18" s="1" t="str">
        <v>2.0</v>
      </c>
      <c r="Q18" t="str">
        <f t="shared" si="0"/>
        <v>Eligible</v>
      </c>
      <c r="R18" t="str">
        <f t="shared" si="1"/>
        <v>Not Eligible</v>
      </c>
      <c r="S18" s="2">
        <v>4739.33</v>
      </c>
    </row>
    <row r="19" spans="1:19" x14ac:dyDescent="0.3">
      <c r="A19" s="10" t="s">
        <v>106</v>
      </c>
      <c r="E19" s="1">
        <v>15</v>
      </c>
      <c r="F19" s="1" t="str">
        <v>SMRITI MANDANA</v>
      </c>
      <c r="G19" s="1" t="str">
        <v>Marketing</v>
      </c>
      <c r="H19" s="1">
        <v>10</v>
      </c>
      <c r="I19" s="1" t="str">
        <v>PhD</v>
      </c>
      <c r="J19" s="1">
        <v>49</v>
      </c>
      <c r="K19" t="str">
        <v>Female</v>
      </c>
      <c r="L19" t="str">
        <v>Mumbai</v>
      </c>
      <c r="M19" s="5">
        <v>99290</v>
      </c>
      <c r="N19" s="1" t="str">
        <v>Normal Salary</v>
      </c>
      <c r="O19" t="str">
        <v>Senior</v>
      </c>
      <c r="P19" s="1" t="str">
        <v>4.0</v>
      </c>
      <c r="Q19" t="str">
        <f t="shared" si="0"/>
        <v>Eligible</v>
      </c>
      <c r="R19" t="str">
        <f t="shared" si="1"/>
        <v>Eligible</v>
      </c>
      <c r="S19" s="2">
        <v>9929</v>
      </c>
    </row>
    <row r="20" spans="1:19" x14ac:dyDescent="0.3">
      <c r="E20" s="1">
        <v>16</v>
      </c>
      <c r="F20" s="1" t="str">
        <v>RICHA GHOSH</v>
      </c>
      <c r="G20" s="1" t="str">
        <v>Finance</v>
      </c>
      <c r="H20" s="1">
        <v>4</v>
      </c>
      <c r="I20" s="1" t="str">
        <v>High School</v>
      </c>
      <c r="J20" s="1">
        <v>49</v>
      </c>
      <c r="K20" t="str">
        <v>Female</v>
      </c>
      <c r="L20" t="str">
        <v>Delhi</v>
      </c>
      <c r="M20" s="5">
        <v>101213</v>
      </c>
      <c r="N20" s="1" t="str">
        <v>High Salary</v>
      </c>
      <c r="O20" t="str">
        <v>Junior</v>
      </c>
      <c r="P20" s="1" t="str">
        <v>4.5</v>
      </c>
      <c r="Q20" t="str">
        <f t="shared" si="0"/>
        <v>Not Eligible</v>
      </c>
      <c r="R20" t="str">
        <f t="shared" si="1"/>
        <v>Not Eligible</v>
      </c>
      <c r="S20" s="2">
        <v>25303.25</v>
      </c>
    </row>
    <row r="21" spans="1:19" ht="18" x14ac:dyDescent="0.3">
      <c r="A21" s="9" t="s">
        <v>107</v>
      </c>
      <c r="E21" s="1">
        <v>17</v>
      </c>
      <c r="F21" s="1" t="str">
        <v>SRI CHARANI</v>
      </c>
      <c r="G21" s="1" t="str">
        <v>Marketing</v>
      </c>
      <c r="H21" s="1">
        <v>18</v>
      </c>
      <c r="I21" s="1" t="str">
        <v>Master</v>
      </c>
      <c r="J21" s="1">
        <v>41</v>
      </c>
      <c r="K21" t="str">
        <v>Female</v>
      </c>
      <c r="L21" t="str">
        <v>Hyderabad</v>
      </c>
      <c r="M21" s="5">
        <v>30895</v>
      </c>
      <c r="N21" s="1" t="str">
        <v>Normal Salary</v>
      </c>
      <c r="O21" t="str">
        <v>Senior</v>
      </c>
      <c r="P21" s="1" t="str">
        <v>2.0</v>
      </c>
      <c r="Q21" t="str">
        <f t="shared" si="0"/>
        <v>Eligible</v>
      </c>
      <c r="R21" t="str">
        <f t="shared" si="1"/>
        <v>Not Eligible</v>
      </c>
      <c r="S21" s="2">
        <v>1716.39</v>
      </c>
    </row>
    <row r="22" spans="1:19" x14ac:dyDescent="0.3">
      <c r="E22" s="1">
        <v>18</v>
      </c>
      <c r="F22" s="1" t="str">
        <v>KAUR</v>
      </c>
      <c r="G22" s="1" t="str">
        <v>Operations</v>
      </c>
      <c r="H22" s="1">
        <v>12</v>
      </c>
      <c r="I22" s="1" t="str">
        <v>PhD</v>
      </c>
      <c r="J22" s="1">
        <v>51</v>
      </c>
      <c r="K22" t="str">
        <v>Female</v>
      </c>
      <c r="L22" t="str">
        <v>Chennai</v>
      </c>
      <c r="M22" s="5">
        <v>44738</v>
      </c>
      <c r="N22" s="1" t="str">
        <v>Normal Salary</v>
      </c>
      <c r="O22" t="str">
        <v>Senior</v>
      </c>
      <c r="P22" s="1" t="str">
        <v>2.5</v>
      </c>
      <c r="Q22" t="str">
        <f t="shared" si="0"/>
        <v>Eligible</v>
      </c>
      <c r="R22" t="str">
        <f t="shared" si="1"/>
        <v>Not Eligible</v>
      </c>
      <c r="S22" s="2">
        <v>3728.17</v>
      </c>
    </row>
    <row r="23" spans="1:19" x14ac:dyDescent="0.3">
      <c r="A23" t="s">
        <v>108</v>
      </c>
      <c r="E23" s="1">
        <v>19</v>
      </c>
      <c r="F23" s="1" t="str">
        <v>SAHIL</v>
      </c>
      <c r="G23" s="1" t="str">
        <v>HR</v>
      </c>
      <c r="H23" s="1">
        <v>2</v>
      </c>
      <c r="I23" s="1" t="str">
        <v>PhD</v>
      </c>
      <c r="J23" s="1">
        <v>32</v>
      </c>
      <c r="K23" t="str">
        <v>Male</v>
      </c>
      <c r="L23" t="str">
        <v>Chennai</v>
      </c>
      <c r="M23" s="5">
        <v>55746</v>
      </c>
      <c r="N23" s="1" t="str">
        <v>Normal Salary</v>
      </c>
      <c r="O23" t="str">
        <v>Junior</v>
      </c>
      <c r="P23" s="1" t="str">
        <v>3.0</v>
      </c>
      <c r="Q23" t="str">
        <f t="shared" si="0"/>
        <v>Not Eligible</v>
      </c>
      <c r="R23" t="str">
        <f t="shared" si="1"/>
        <v>Not Eligible</v>
      </c>
      <c r="S23" s="2">
        <v>27873</v>
      </c>
    </row>
    <row r="24" spans="1:19" x14ac:dyDescent="0.3">
      <c r="A24" s="10"/>
      <c r="E24" s="1">
        <v>20</v>
      </c>
      <c r="F24" s="1" t="str">
        <v>MURALI</v>
      </c>
      <c r="G24" s="1" t="str">
        <v>Marketing</v>
      </c>
      <c r="H24" s="1">
        <v>10</v>
      </c>
      <c r="I24" s="1" t="str">
        <v>Bachelor</v>
      </c>
      <c r="J24" s="1">
        <v>49</v>
      </c>
      <c r="K24" t="str">
        <v>Male</v>
      </c>
      <c r="L24" t="str">
        <v>Bangalore</v>
      </c>
      <c r="M24" s="5">
        <v>74377</v>
      </c>
      <c r="N24" s="1" t="str">
        <v>Normal Salary</v>
      </c>
      <c r="O24" t="str">
        <v>Senior</v>
      </c>
      <c r="P24" s="1" t="str">
        <v>3.5</v>
      </c>
      <c r="Q24" t="str">
        <f t="shared" si="0"/>
        <v>Eligible</v>
      </c>
      <c r="R24" t="str">
        <f t="shared" si="1"/>
        <v>Not Eligible</v>
      </c>
      <c r="S24" s="2">
        <v>7437.7</v>
      </c>
    </row>
    <row r="25" spans="1:19" x14ac:dyDescent="0.3">
      <c r="A25" s="10" t="s">
        <v>109</v>
      </c>
      <c r="E25" s="1">
        <v>21</v>
      </c>
      <c r="F25" s="1" t="str">
        <v>PRIYANKA KAUR</v>
      </c>
      <c r="G25" s="1" t="str">
        <v>Finance</v>
      </c>
      <c r="H25" s="1">
        <v>4</v>
      </c>
      <c r="I25" s="1" t="str">
        <v>Master</v>
      </c>
      <c r="J25" s="1">
        <v>46</v>
      </c>
      <c r="K25" t="str">
        <v>Female</v>
      </c>
      <c r="L25" t="str">
        <v>Delhi</v>
      </c>
      <c r="M25" s="5">
        <v>73404</v>
      </c>
      <c r="N25" s="1" t="str">
        <v>Normal Salary</v>
      </c>
      <c r="O25" t="str">
        <v>Junior</v>
      </c>
      <c r="P25" s="1" t="str">
        <v>3.5</v>
      </c>
      <c r="Q25" t="str">
        <f t="shared" si="0"/>
        <v>Not Eligible</v>
      </c>
      <c r="R25" t="str">
        <f t="shared" si="1"/>
        <v>Not Eligible</v>
      </c>
      <c r="S25" s="2">
        <v>18351</v>
      </c>
    </row>
    <row r="26" spans="1:19" x14ac:dyDescent="0.3">
      <c r="A26" s="10" t="s">
        <v>110</v>
      </c>
      <c r="E26" s="1">
        <v>22</v>
      </c>
      <c r="F26" s="1" t="str">
        <v>NAMRATA</v>
      </c>
      <c r="G26" s="1" t="str">
        <v>Operations</v>
      </c>
      <c r="H26" s="1">
        <v>14</v>
      </c>
      <c r="I26" s="1" t="str">
        <v>Master</v>
      </c>
      <c r="J26" s="1">
        <v>54</v>
      </c>
      <c r="K26" t="str">
        <v>Female</v>
      </c>
      <c r="L26" t="str">
        <v>Delhi</v>
      </c>
      <c r="M26" s="5">
        <v>79045</v>
      </c>
      <c r="N26" s="1" t="str">
        <v>Normal Salary</v>
      </c>
      <c r="O26" t="str">
        <v>Senior</v>
      </c>
      <c r="P26" s="1" t="str">
        <v>3.5</v>
      </c>
      <c r="Q26" t="str">
        <f t="shared" si="0"/>
        <v>Eligible</v>
      </c>
      <c r="R26" t="str">
        <f t="shared" si="1"/>
        <v>Not Eligible</v>
      </c>
      <c r="S26" s="2">
        <v>5646.07</v>
      </c>
    </row>
    <row r="27" spans="1:19" x14ac:dyDescent="0.3">
      <c r="E27" s="1">
        <v>23</v>
      </c>
      <c r="F27" s="1" t="str">
        <v>KRISHNA</v>
      </c>
      <c r="G27" s="1" t="str">
        <v>Marketing</v>
      </c>
      <c r="H27" s="1">
        <v>16</v>
      </c>
      <c r="I27" s="1" t="str">
        <v>High School</v>
      </c>
      <c r="J27" s="1">
        <v>22</v>
      </c>
      <c r="K27" t="str">
        <v>Male</v>
      </c>
      <c r="L27" t="str">
        <v>Bangalore</v>
      </c>
      <c r="M27" s="5">
        <v>122888</v>
      </c>
      <c r="N27" s="1" t="str">
        <v>High Salary</v>
      </c>
      <c r="O27" t="str">
        <v>Senior</v>
      </c>
      <c r="P27" s="1" t="str">
        <v>4.5</v>
      </c>
      <c r="Q27" t="str">
        <f t="shared" si="0"/>
        <v>Eligible</v>
      </c>
      <c r="R27" t="str">
        <f t="shared" si="1"/>
        <v>Eligible</v>
      </c>
      <c r="S27" s="2">
        <v>7680.5</v>
      </c>
    </row>
    <row r="28" spans="1:19" ht="18" x14ac:dyDescent="0.3">
      <c r="A28" s="9" t="s">
        <v>111</v>
      </c>
      <c r="E28" s="1">
        <v>24</v>
      </c>
      <c r="F28" s="1" t="str">
        <v>VISHNU</v>
      </c>
      <c r="G28" s="1" t="str">
        <v>HR</v>
      </c>
      <c r="H28" s="1">
        <v>15</v>
      </c>
      <c r="I28" s="1" t="str">
        <v>Master</v>
      </c>
      <c r="J28" s="1">
        <v>48</v>
      </c>
      <c r="K28" t="str">
        <v>Male</v>
      </c>
      <c r="L28" t="str">
        <v>Bangalore</v>
      </c>
      <c r="M28" s="5">
        <v>64790</v>
      </c>
      <c r="N28" s="1" t="str">
        <v>Normal Salary</v>
      </c>
      <c r="O28" t="str">
        <v>Senior</v>
      </c>
      <c r="P28" s="1" t="str">
        <v>3.5</v>
      </c>
      <c r="Q28" t="str">
        <f t="shared" si="0"/>
        <v>Eligible</v>
      </c>
      <c r="R28" t="str">
        <f t="shared" si="1"/>
        <v>Not Eligible</v>
      </c>
      <c r="S28" s="2">
        <v>4319.33</v>
      </c>
    </row>
    <row r="29" spans="1:19" x14ac:dyDescent="0.3">
      <c r="E29" s="1">
        <v>25</v>
      </c>
      <c r="F29" s="1" t="str">
        <v>PRAGNYA</v>
      </c>
      <c r="G29" s="1" t="str">
        <v>HR</v>
      </c>
      <c r="H29" s="1">
        <v>8</v>
      </c>
      <c r="I29" s="1" t="str">
        <v>High School</v>
      </c>
      <c r="J29" s="1">
        <v>34</v>
      </c>
      <c r="K29" t="str">
        <v>Female</v>
      </c>
      <c r="L29" t="str">
        <v>Bangalore</v>
      </c>
      <c r="M29" s="5">
        <v>132455</v>
      </c>
      <c r="N29" s="1" t="str">
        <v>High Salary</v>
      </c>
      <c r="O29" t="str">
        <v>Senior</v>
      </c>
      <c r="P29" s="1" t="str">
        <v>4.5</v>
      </c>
      <c r="Q29" t="str">
        <f t="shared" si="0"/>
        <v>Eligible</v>
      </c>
      <c r="R29" t="str">
        <f t="shared" si="1"/>
        <v>Not Eligible</v>
      </c>
      <c r="S29" s="2">
        <v>16556.88</v>
      </c>
    </row>
    <row r="30" spans="1:19" x14ac:dyDescent="0.3">
      <c r="A30" t="s">
        <v>112</v>
      </c>
      <c r="E30" s="1">
        <v>26</v>
      </c>
      <c r="F30" s="1" t="str">
        <v>VIVEK</v>
      </c>
      <c r="G30" s="1" t="str">
        <v>IT</v>
      </c>
      <c r="H30" s="1">
        <v>14</v>
      </c>
      <c r="I30" s="1" t="str">
        <v>Master</v>
      </c>
      <c r="J30" s="1">
        <v>24</v>
      </c>
      <c r="K30" t="str">
        <v>Male</v>
      </c>
      <c r="L30" t="str">
        <v>Hyderabad</v>
      </c>
      <c r="M30" s="5">
        <v>30600</v>
      </c>
      <c r="N30" s="1" t="str">
        <v>Normal Salary</v>
      </c>
      <c r="O30" t="str">
        <v>Senior</v>
      </c>
      <c r="P30" s="1" t="str">
        <v>2.0</v>
      </c>
      <c r="Q30" t="str">
        <f t="shared" si="0"/>
        <v>Eligible</v>
      </c>
      <c r="R30" t="str">
        <f t="shared" si="1"/>
        <v>Not Eligible</v>
      </c>
      <c r="S30" s="2">
        <v>2185.71</v>
      </c>
    </row>
    <row r="31" spans="1:19" x14ac:dyDescent="0.3">
      <c r="A31" s="10"/>
      <c r="E31" s="1">
        <v>27</v>
      </c>
      <c r="F31" s="1" t="str">
        <v>LILLY</v>
      </c>
      <c r="G31" s="1" t="str">
        <v>IT</v>
      </c>
      <c r="H31" s="1">
        <v>8</v>
      </c>
      <c r="I31" s="1" t="str">
        <v>Bachelor</v>
      </c>
      <c r="J31" s="1">
        <v>27</v>
      </c>
      <c r="K31" t="str">
        <v>Female</v>
      </c>
      <c r="L31" t="str">
        <v>Delhi</v>
      </c>
      <c r="M31" s="5">
        <v>119660</v>
      </c>
      <c r="N31" s="1" t="str">
        <v>High Salary</v>
      </c>
      <c r="O31" t="str">
        <v>Senior</v>
      </c>
      <c r="P31" s="1" t="str">
        <v>4.5</v>
      </c>
      <c r="Q31" t="str">
        <f t="shared" si="0"/>
        <v>Eligible</v>
      </c>
      <c r="R31" t="str">
        <f t="shared" si="1"/>
        <v>Not Eligible</v>
      </c>
      <c r="S31" s="2">
        <v>14957.5</v>
      </c>
    </row>
    <row r="32" spans="1:19" x14ac:dyDescent="0.3">
      <c r="A32" s="10" t="s">
        <v>113</v>
      </c>
      <c r="E32" s="1">
        <v>28</v>
      </c>
      <c r="F32" s="1" t="str">
        <v>RASGNYA</v>
      </c>
      <c r="G32" s="1" t="str">
        <v>Finance</v>
      </c>
      <c r="H32" s="1">
        <v>16</v>
      </c>
      <c r="I32" s="1" t="str">
        <v>Master</v>
      </c>
      <c r="J32" s="1">
        <v>29</v>
      </c>
      <c r="K32" t="str">
        <v>Female</v>
      </c>
      <c r="L32" t="str">
        <v>Hyderabad</v>
      </c>
      <c r="M32" s="5">
        <v>118179</v>
      </c>
      <c r="N32" s="1" t="str">
        <v>High Salary</v>
      </c>
      <c r="O32" t="str">
        <v>Senior</v>
      </c>
      <c r="P32" s="1" t="str">
        <v>4.5</v>
      </c>
      <c r="Q32" t="str">
        <f t="shared" si="0"/>
        <v>Eligible</v>
      </c>
      <c r="R32" t="str">
        <f t="shared" si="1"/>
        <v>Eligible</v>
      </c>
      <c r="S32" s="2">
        <v>7386.19</v>
      </c>
    </row>
    <row r="33" spans="1:19" x14ac:dyDescent="0.3">
      <c r="A33" s="10" t="s">
        <v>114</v>
      </c>
      <c r="E33" s="1">
        <v>29</v>
      </c>
      <c r="F33" s="1" t="str">
        <v>DINESH KUMAR</v>
      </c>
      <c r="G33" s="1" t="str">
        <v>Marketing</v>
      </c>
      <c r="H33" s="1">
        <v>13</v>
      </c>
      <c r="I33" s="1" t="str">
        <v>High School</v>
      </c>
      <c r="J33" s="1">
        <v>48</v>
      </c>
      <c r="K33" t="str">
        <v>Male</v>
      </c>
      <c r="L33" t="str">
        <v>Bangalore</v>
      </c>
      <c r="M33" s="5">
        <v>65764</v>
      </c>
      <c r="N33" s="1" t="str">
        <v>Normal Salary</v>
      </c>
      <c r="O33" t="str">
        <v>Senior</v>
      </c>
      <c r="P33" s="1" t="str">
        <v>3.5</v>
      </c>
      <c r="Q33" t="str">
        <f t="shared" si="0"/>
        <v>Eligible</v>
      </c>
      <c r="R33" t="str">
        <f t="shared" si="1"/>
        <v>Not Eligible</v>
      </c>
      <c r="S33" s="2">
        <v>5058.7700000000004</v>
      </c>
    </row>
    <row r="34" spans="1:19" x14ac:dyDescent="0.3">
      <c r="E34" s="1">
        <v>30</v>
      </c>
      <c r="F34" s="1" t="str">
        <v>VIKAS</v>
      </c>
      <c r="G34" s="1" t="str">
        <v>Marketing</v>
      </c>
      <c r="H34" s="1">
        <v>18</v>
      </c>
      <c r="I34" s="1" t="str">
        <v>High School</v>
      </c>
      <c r="J34" s="1">
        <v>30</v>
      </c>
      <c r="K34" t="str">
        <v>Male</v>
      </c>
      <c r="L34" t="str">
        <v>Delhi</v>
      </c>
      <c r="M34" s="5">
        <v>99543</v>
      </c>
      <c r="N34" s="1" t="str">
        <v>Normal Salary</v>
      </c>
      <c r="O34" t="str">
        <v>Senior</v>
      </c>
      <c r="P34" s="1" t="str">
        <v>4.0</v>
      </c>
      <c r="Q34" t="str">
        <f t="shared" si="0"/>
        <v>Eligible</v>
      </c>
      <c r="R34" t="str">
        <f t="shared" si="1"/>
        <v>Eligible</v>
      </c>
      <c r="S34" s="2">
        <v>5530.17</v>
      </c>
    </row>
    <row r="35" spans="1:19" ht="18" x14ac:dyDescent="0.3">
      <c r="A35" s="9" t="s">
        <v>115</v>
      </c>
      <c r="E35" s="1">
        <v>31</v>
      </c>
      <c r="F35" s="1" t="str">
        <v>HIMA BINDU</v>
      </c>
      <c r="G35" s="1" t="str">
        <v>IT</v>
      </c>
      <c r="H35" s="1">
        <v>15</v>
      </c>
      <c r="I35" s="1" t="str">
        <v>Bachelor</v>
      </c>
      <c r="J35" s="1">
        <v>54</v>
      </c>
      <c r="K35" t="str">
        <v>Female</v>
      </c>
      <c r="L35" t="str">
        <v>Hyderabad</v>
      </c>
      <c r="M35" s="5">
        <v>70714</v>
      </c>
      <c r="N35" s="1" t="str">
        <v>Normal Salary</v>
      </c>
      <c r="O35" t="str">
        <v>Senior</v>
      </c>
      <c r="P35" s="1" t="str">
        <v>3.5</v>
      </c>
      <c r="Q35" t="str">
        <f t="shared" si="0"/>
        <v>Eligible</v>
      </c>
      <c r="R35" t="str">
        <f t="shared" si="1"/>
        <v>Not Eligible</v>
      </c>
      <c r="S35" s="2">
        <v>4714.2700000000004</v>
      </c>
    </row>
    <row r="36" spans="1:19" x14ac:dyDescent="0.3">
      <c r="E36" s="1">
        <v>32</v>
      </c>
      <c r="F36" s="1" t="str">
        <v>HEMA SRI</v>
      </c>
      <c r="G36" s="1" t="str">
        <v>Marketing</v>
      </c>
      <c r="H36" s="1">
        <v>13</v>
      </c>
      <c r="I36" s="1" t="str">
        <v>Master</v>
      </c>
      <c r="J36" s="1">
        <v>45</v>
      </c>
      <c r="K36" t="str">
        <v>Female</v>
      </c>
      <c r="L36" t="str">
        <v>Hyderabad</v>
      </c>
      <c r="M36" s="5">
        <v>81835</v>
      </c>
      <c r="N36" s="1" t="str">
        <v>Normal Salary</v>
      </c>
      <c r="O36" t="str">
        <v>Senior</v>
      </c>
      <c r="P36" s="1" t="str">
        <v>4.0</v>
      </c>
      <c r="Q36" t="str">
        <f t="shared" si="0"/>
        <v>Eligible</v>
      </c>
      <c r="R36" t="str">
        <f t="shared" si="1"/>
        <v>Eligible</v>
      </c>
      <c r="S36" s="2">
        <v>6295</v>
      </c>
    </row>
    <row r="37" spans="1:19" x14ac:dyDescent="0.3">
      <c r="E37" s="1">
        <v>33</v>
      </c>
      <c r="F37" s="1" t="str">
        <v>SIVA KUMAR</v>
      </c>
      <c r="G37" s="1" t="str">
        <v>Marketing</v>
      </c>
      <c r="H37" s="1">
        <v>9</v>
      </c>
      <c r="I37" s="1" t="str">
        <v>Master</v>
      </c>
      <c r="J37" s="1">
        <v>36</v>
      </c>
      <c r="K37" t="str">
        <v>Male</v>
      </c>
      <c r="L37" t="str">
        <v>Bangalore</v>
      </c>
      <c r="M37" s="5">
        <v>127946</v>
      </c>
      <c r="N37" s="1" t="str">
        <v>High Salary</v>
      </c>
      <c r="O37" t="str">
        <v>Senior</v>
      </c>
      <c r="P37" s="1" t="str">
        <v>4.5</v>
      </c>
      <c r="Q37" t="str">
        <f t="shared" si="0"/>
        <v>Eligible</v>
      </c>
      <c r="R37" t="str">
        <f t="shared" si="1"/>
        <v>Not Eligible</v>
      </c>
      <c r="S37" s="2">
        <v>14216.22</v>
      </c>
    </row>
    <row r="38" spans="1:19" x14ac:dyDescent="0.3">
      <c r="E38" s="1">
        <v>34</v>
      </c>
      <c r="F38" s="1" t="str">
        <v>SONALI</v>
      </c>
      <c r="G38" s="1" t="str">
        <v>HR</v>
      </c>
      <c r="H38" s="1">
        <v>15</v>
      </c>
      <c r="I38" s="1" t="str">
        <v>Bachelor</v>
      </c>
      <c r="J38" s="1">
        <v>53</v>
      </c>
      <c r="K38" t="str">
        <v>Female</v>
      </c>
      <c r="L38" t="str">
        <v>Delhi</v>
      </c>
      <c r="M38" s="5">
        <v>134616</v>
      </c>
      <c r="N38" s="1" t="str">
        <v>High Salary</v>
      </c>
      <c r="O38" t="str">
        <v>Senior</v>
      </c>
      <c r="P38" s="1" t="str">
        <v>4.5</v>
      </c>
      <c r="Q38" t="str">
        <f t="shared" si="0"/>
        <v>Eligible</v>
      </c>
      <c r="R38" t="str">
        <f t="shared" si="1"/>
        <v>Eligible</v>
      </c>
      <c r="S38" s="2">
        <v>8974.4</v>
      </c>
    </row>
    <row r="39" spans="1:19" x14ac:dyDescent="0.3">
      <c r="E39" s="1">
        <v>35</v>
      </c>
      <c r="F39" s="1" t="str">
        <v>RAVI SANKAR</v>
      </c>
      <c r="G39" s="1" t="str">
        <v>IT</v>
      </c>
      <c r="H39" s="1">
        <v>13</v>
      </c>
      <c r="I39" s="1" t="str">
        <v>Master</v>
      </c>
      <c r="J39" s="1">
        <v>53</v>
      </c>
      <c r="K39" t="str">
        <v>Male</v>
      </c>
      <c r="L39" t="str">
        <v>Bangalore</v>
      </c>
      <c r="M39" s="5">
        <v>130983</v>
      </c>
      <c r="N39" s="1" t="str">
        <v>High Salary</v>
      </c>
      <c r="O39" t="str">
        <v>Senior</v>
      </c>
      <c r="P39" s="1" t="str">
        <v>4.5</v>
      </c>
      <c r="Q39" t="str">
        <f t="shared" si="0"/>
        <v>Eligible</v>
      </c>
      <c r="R39" t="str">
        <f t="shared" si="1"/>
        <v>Eligible</v>
      </c>
      <c r="S39" s="2">
        <v>10075.620000000001</v>
      </c>
    </row>
    <row r="40" spans="1:19" x14ac:dyDescent="0.3">
      <c r="E40" s="1">
        <v>36</v>
      </c>
      <c r="F40" s="1" t="str">
        <v>SAMSKRUTHI</v>
      </c>
      <c r="G40" s="1" t="str">
        <v>Operations</v>
      </c>
      <c r="H40" s="1">
        <v>1</v>
      </c>
      <c r="I40" s="1" t="str">
        <v>Master</v>
      </c>
      <c r="J40" s="1">
        <v>45</v>
      </c>
      <c r="K40" t="str">
        <v>Female</v>
      </c>
      <c r="L40" t="str">
        <v>Delhi</v>
      </c>
      <c r="M40" s="5">
        <v>98744</v>
      </c>
      <c r="N40" s="1" t="str">
        <v>Normal Salary</v>
      </c>
      <c r="O40" t="str">
        <v>Junior</v>
      </c>
      <c r="P40" s="1" t="str">
        <v>4.0</v>
      </c>
      <c r="Q40" t="str">
        <f t="shared" si="0"/>
        <v>Not Eligible</v>
      </c>
      <c r="R40" t="str">
        <f t="shared" si="1"/>
        <v>Not Eligible</v>
      </c>
      <c r="S40" s="2">
        <v>98744</v>
      </c>
    </row>
    <row r="41" spans="1:19" x14ac:dyDescent="0.3">
      <c r="E41" s="1">
        <v>37</v>
      </c>
      <c r="F41" s="1" t="str">
        <v>SRI RAM</v>
      </c>
      <c r="G41" s="1" t="str">
        <v>IT</v>
      </c>
      <c r="H41" s="1">
        <v>7</v>
      </c>
      <c r="I41" s="1" t="str">
        <v>High School</v>
      </c>
      <c r="J41" s="1">
        <v>33</v>
      </c>
      <c r="K41" t="str">
        <v>Male</v>
      </c>
      <c r="L41" t="str">
        <v>Chennai</v>
      </c>
      <c r="M41" s="5">
        <v>81491</v>
      </c>
      <c r="N41" s="1" t="str">
        <v>Normal Salary</v>
      </c>
      <c r="O41" t="str">
        <v>Senior</v>
      </c>
      <c r="P41" s="1" t="str">
        <v>4.0</v>
      </c>
      <c r="Q41" t="str">
        <f t="shared" si="0"/>
        <v>Eligible</v>
      </c>
      <c r="R41" t="str">
        <f t="shared" si="1"/>
        <v>Not Eligible</v>
      </c>
      <c r="S41" s="2">
        <v>11641.57</v>
      </c>
    </row>
    <row r="42" spans="1:19" x14ac:dyDescent="0.3">
      <c r="E42" s="1">
        <v>38</v>
      </c>
      <c r="F42" s="1" t="str">
        <v>MADHAV</v>
      </c>
      <c r="G42" s="1" t="str">
        <v>Operations</v>
      </c>
      <c r="H42" s="1">
        <v>9</v>
      </c>
      <c r="I42" s="1" t="str">
        <v>Master</v>
      </c>
      <c r="J42" s="1">
        <v>23</v>
      </c>
      <c r="K42" t="str">
        <v>Male</v>
      </c>
      <c r="L42" t="str">
        <v>Mumbai</v>
      </c>
      <c r="M42" s="5">
        <v>149123</v>
      </c>
      <c r="N42" s="1" t="str">
        <v>High Salary</v>
      </c>
      <c r="O42" t="str">
        <v>Senior</v>
      </c>
      <c r="P42" s="1" t="str">
        <v>4.5</v>
      </c>
      <c r="Q42" t="str">
        <f t="shared" si="0"/>
        <v>Eligible</v>
      </c>
      <c r="R42" t="str">
        <f t="shared" si="1"/>
        <v>Not Eligible</v>
      </c>
      <c r="S42" s="2">
        <v>16569.22</v>
      </c>
    </row>
    <row r="43" spans="1:19" x14ac:dyDescent="0.3">
      <c r="E43" s="1">
        <v>39</v>
      </c>
      <c r="F43" s="1" t="str">
        <v>MANIKANTA</v>
      </c>
      <c r="G43" s="1" t="str">
        <v>HR</v>
      </c>
      <c r="H43" s="1">
        <v>1</v>
      </c>
      <c r="I43" s="1" t="str">
        <v>Master</v>
      </c>
      <c r="J43" s="1">
        <v>24</v>
      </c>
      <c r="K43" t="str">
        <v>Male</v>
      </c>
      <c r="L43" t="str">
        <v>Mumbai</v>
      </c>
      <c r="M43" s="5">
        <v>43589</v>
      </c>
      <c r="N43" s="1" t="str">
        <v>Normal Salary</v>
      </c>
      <c r="O43" t="str">
        <v>Junior</v>
      </c>
      <c r="P43" s="1" t="str">
        <v>2.5</v>
      </c>
      <c r="Q43" t="str">
        <f t="shared" si="0"/>
        <v>Not Eligible</v>
      </c>
      <c r="R43" t="str">
        <f t="shared" si="1"/>
        <v>Not Eligible</v>
      </c>
      <c r="S43" s="2">
        <v>43589</v>
      </c>
    </row>
    <row r="44" spans="1:19" x14ac:dyDescent="0.3">
      <c r="E44" s="1">
        <v>40</v>
      </c>
      <c r="F44" s="1" t="str">
        <v>DEEPA</v>
      </c>
      <c r="G44" s="1" t="str">
        <v>Finance</v>
      </c>
      <c r="H44" s="1">
        <v>12</v>
      </c>
      <c r="I44" s="1" t="str">
        <v>Bachelor</v>
      </c>
      <c r="J44" s="1">
        <v>38</v>
      </c>
      <c r="K44" t="str">
        <v>Female</v>
      </c>
      <c r="L44" t="str">
        <v>Mumbai</v>
      </c>
      <c r="M44" s="5">
        <v>68484</v>
      </c>
      <c r="N44" s="1" t="str">
        <v>Normal Salary</v>
      </c>
      <c r="O44" t="str">
        <v>Senior</v>
      </c>
      <c r="P44" s="1" t="str">
        <v>3.5</v>
      </c>
      <c r="Q44" t="str">
        <f t="shared" si="0"/>
        <v>Eligible</v>
      </c>
      <c r="R44" t="str">
        <f t="shared" si="1"/>
        <v>Not Eligible</v>
      </c>
      <c r="S44" s="2">
        <v>5707</v>
      </c>
    </row>
    <row r="45" spans="1:19" x14ac:dyDescent="0.3">
      <c r="E45" s="1">
        <v>41</v>
      </c>
      <c r="F45" s="1" t="str">
        <v>SAMHITHA</v>
      </c>
      <c r="G45" s="1" t="str">
        <v>Marketing</v>
      </c>
      <c r="H45" s="1">
        <v>8</v>
      </c>
      <c r="I45" s="1" t="str">
        <v>Bachelor</v>
      </c>
      <c r="J45" s="1">
        <v>23</v>
      </c>
      <c r="K45" t="str">
        <v>Female</v>
      </c>
      <c r="L45" t="str">
        <v>Bangalore</v>
      </c>
      <c r="M45" s="5">
        <v>107989</v>
      </c>
      <c r="N45" s="1" t="str">
        <v>High Salary</v>
      </c>
      <c r="O45" t="str">
        <v>Senior</v>
      </c>
      <c r="P45" s="1" t="str">
        <v>4.5</v>
      </c>
      <c r="Q45" t="str">
        <f t="shared" si="0"/>
        <v>Eligible</v>
      </c>
      <c r="R45" t="str">
        <f t="shared" si="1"/>
        <v>Not Eligible</v>
      </c>
      <c r="S45" s="2">
        <v>13498.63</v>
      </c>
    </row>
    <row r="46" spans="1:19" x14ac:dyDescent="0.3">
      <c r="E46" s="1">
        <v>42</v>
      </c>
      <c r="F46" s="1" t="str">
        <v>MANI KUMAR</v>
      </c>
      <c r="G46" s="1" t="str">
        <v>HR</v>
      </c>
      <c r="H46" s="1">
        <v>11</v>
      </c>
      <c r="I46" s="1" t="str">
        <v>PhD</v>
      </c>
      <c r="J46" s="1">
        <v>23</v>
      </c>
      <c r="K46" t="str">
        <v>Male</v>
      </c>
      <c r="L46" t="str">
        <v>Chennai</v>
      </c>
      <c r="M46" s="5">
        <v>61212</v>
      </c>
      <c r="N46" s="1" t="str">
        <v>Normal Salary</v>
      </c>
      <c r="O46" t="str">
        <v>Senior</v>
      </c>
      <c r="P46" s="1" t="str">
        <v>3.5</v>
      </c>
      <c r="Q46" t="str">
        <f t="shared" si="0"/>
        <v>Eligible</v>
      </c>
      <c r="R46" t="str">
        <f t="shared" si="1"/>
        <v>Not Eligible</v>
      </c>
      <c r="S46" s="2">
        <v>5564.73</v>
      </c>
    </row>
    <row r="47" spans="1:19" x14ac:dyDescent="0.3">
      <c r="E47" s="1">
        <v>43</v>
      </c>
      <c r="F47" s="1" t="str">
        <v>SARANYA</v>
      </c>
      <c r="G47" s="1" t="str">
        <v>Marketing</v>
      </c>
      <c r="H47" s="1">
        <v>19</v>
      </c>
      <c r="I47" s="1" t="str">
        <v>High School</v>
      </c>
      <c r="J47" s="1">
        <v>49</v>
      </c>
      <c r="K47" t="str">
        <v>Female</v>
      </c>
      <c r="L47" t="str">
        <v>Delhi</v>
      </c>
      <c r="M47" s="5">
        <v>68525</v>
      </c>
      <c r="N47" s="1" t="str">
        <v>Normal Salary</v>
      </c>
      <c r="O47" t="str">
        <v>Senior</v>
      </c>
      <c r="P47" s="1" t="str">
        <v>3.5</v>
      </c>
      <c r="Q47" t="str">
        <f t="shared" si="0"/>
        <v>Eligible</v>
      </c>
      <c r="R47" t="str">
        <f t="shared" si="1"/>
        <v>Not Eligible</v>
      </c>
      <c r="S47" s="2">
        <v>3606.58</v>
      </c>
    </row>
    <row r="48" spans="1:19" x14ac:dyDescent="0.3">
      <c r="E48" s="1">
        <v>44</v>
      </c>
      <c r="F48" s="1" t="str">
        <v>BHAVANI SHANKAR</v>
      </c>
      <c r="G48" s="1" t="str">
        <v>Finance</v>
      </c>
      <c r="H48" s="1">
        <v>17</v>
      </c>
      <c r="I48" s="1" t="str">
        <v>Master</v>
      </c>
      <c r="J48" s="1">
        <v>44</v>
      </c>
      <c r="K48" t="str">
        <v>Male</v>
      </c>
      <c r="L48" t="str">
        <v>Hyderabad</v>
      </c>
      <c r="M48" s="5">
        <v>72202</v>
      </c>
      <c r="N48" s="1" t="str">
        <v>Normal Salary</v>
      </c>
      <c r="O48" t="str">
        <v>Senior</v>
      </c>
      <c r="P48" s="1" t="str">
        <v>3.5</v>
      </c>
      <c r="Q48" t="str">
        <f t="shared" si="0"/>
        <v>Eligible</v>
      </c>
      <c r="R48" t="str">
        <f t="shared" si="1"/>
        <v>Not Eligible</v>
      </c>
      <c r="S48" s="2">
        <v>4247.18</v>
      </c>
    </row>
    <row r="49" spans="5:19" x14ac:dyDescent="0.3">
      <c r="E49" s="1">
        <v>45</v>
      </c>
      <c r="F49" s="1" t="str">
        <v>SAI KUMAR</v>
      </c>
      <c r="G49" s="1" t="str">
        <v>Finance</v>
      </c>
      <c r="H49" s="1">
        <v>8</v>
      </c>
      <c r="I49" s="1" t="str">
        <v>Master</v>
      </c>
      <c r="J49" s="1">
        <v>53</v>
      </c>
      <c r="K49" t="str">
        <v>Male</v>
      </c>
      <c r="L49" t="str">
        <v>Delhi</v>
      </c>
      <c r="M49" s="5">
        <v>57635</v>
      </c>
      <c r="N49" s="1" t="str">
        <v>Normal Salary</v>
      </c>
      <c r="O49" t="str">
        <v>Senior</v>
      </c>
      <c r="P49" s="1" t="str">
        <v>3.0</v>
      </c>
      <c r="Q49" t="str">
        <f t="shared" si="0"/>
        <v>Eligible</v>
      </c>
      <c r="R49" t="str">
        <f t="shared" si="1"/>
        <v>Not Eligible</v>
      </c>
      <c r="S49" s="2">
        <v>7204.38</v>
      </c>
    </row>
    <row r="50" spans="5:19" x14ac:dyDescent="0.3">
      <c r="E50" s="1">
        <v>46</v>
      </c>
      <c r="F50" s="1" t="str">
        <v>PRASANNA</v>
      </c>
      <c r="G50" s="1" t="str">
        <v>HR</v>
      </c>
      <c r="H50" s="1">
        <v>3</v>
      </c>
      <c r="I50" s="1" t="str">
        <v>PhD</v>
      </c>
      <c r="J50" s="1">
        <v>54</v>
      </c>
      <c r="K50" t="str">
        <v>Female</v>
      </c>
      <c r="L50" t="str">
        <v>Hyderabad</v>
      </c>
      <c r="M50" s="5">
        <v>88208</v>
      </c>
      <c r="N50" s="1" t="str">
        <v>Normal Salary</v>
      </c>
      <c r="O50" t="str">
        <v>Junior</v>
      </c>
      <c r="P50" s="1" t="str">
        <v>4.0</v>
      </c>
      <c r="Q50" t="str">
        <f t="shared" si="0"/>
        <v>Not Eligible</v>
      </c>
      <c r="R50" t="str">
        <f t="shared" si="1"/>
        <v>Not Eligible</v>
      </c>
      <c r="S50" s="2">
        <v>29402.67</v>
      </c>
    </row>
    <row r="51" spans="5:19" x14ac:dyDescent="0.3">
      <c r="E51" s="1">
        <v>47</v>
      </c>
      <c r="F51" s="1" t="str">
        <v>SRAVYA</v>
      </c>
      <c r="G51" s="1" t="str">
        <v>Finance</v>
      </c>
      <c r="H51" s="1">
        <v>3</v>
      </c>
      <c r="I51" s="1" t="str">
        <v>Master</v>
      </c>
      <c r="J51" s="1">
        <v>22</v>
      </c>
      <c r="K51" t="str">
        <v>Female</v>
      </c>
      <c r="L51" t="str">
        <v>Delhi</v>
      </c>
      <c r="M51" s="5">
        <v>58828</v>
      </c>
      <c r="N51" s="1" t="str">
        <v>Normal Salary</v>
      </c>
      <c r="O51" t="str">
        <v>Junior</v>
      </c>
      <c r="P51" s="1" t="str">
        <v>3.0</v>
      </c>
      <c r="Q51" t="str">
        <f t="shared" si="0"/>
        <v>Not Eligible</v>
      </c>
      <c r="R51" t="str">
        <f t="shared" si="1"/>
        <v>Not Eligible</v>
      </c>
      <c r="S51" s="2">
        <v>19609.330000000002</v>
      </c>
    </row>
    <row r="52" spans="5:19" x14ac:dyDescent="0.3">
      <c r="E52" s="1">
        <v>48</v>
      </c>
      <c r="F52" s="1" t="str">
        <v>SAI RAJ</v>
      </c>
      <c r="G52" s="1" t="str">
        <v>Operations</v>
      </c>
      <c r="H52" s="1">
        <v>1</v>
      </c>
      <c r="I52" s="1" t="str">
        <v>High School</v>
      </c>
      <c r="J52" s="1">
        <v>40</v>
      </c>
      <c r="K52" t="str">
        <v>Male</v>
      </c>
      <c r="L52" t="str">
        <v>Chennai</v>
      </c>
      <c r="M52" s="5">
        <v>43711</v>
      </c>
      <c r="N52" s="1" t="str">
        <v>Normal Salary</v>
      </c>
      <c r="O52" t="str">
        <v>Junior</v>
      </c>
      <c r="P52" s="1" t="str">
        <v>2.5</v>
      </c>
      <c r="Q52" t="str">
        <f t="shared" si="0"/>
        <v>Not Eligible</v>
      </c>
      <c r="R52" t="str">
        <f t="shared" si="1"/>
        <v>Not Eligible</v>
      </c>
      <c r="S52" s="2">
        <v>43711</v>
      </c>
    </row>
    <row r="53" spans="5:19" x14ac:dyDescent="0.3">
      <c r="E53" s="1">
        <v>49</v>
      </c>
      <c r="F53" s="1" t="str">
        <v>NAVYA</v>
      </c>
      <c r="G53" s="1" t="str">
        <v>Finance</v>
      </c>
      <c r="H53" s="1">
        <v>5</v>
      </c>
      <c r="I53" s="1" t="str">
        <v>PhD</v>
      </c>
      <c r="J53" s="1">
        <v>23</v>
      </c>
      <c r="K53" t="str">
        <v>Female</v>
      </c>
      <c r="L53" t="str">
        <v>Hyderabad</v>
      </c>
      <c r="M53" s="5">
        <v>28420</v>
      </c>
      <c r="N53" s="1" t="str">
        <v>Normal Salary</v>
      </c>
      <c r="O53" t="str">
        <v>Senior</v>
      </c>
      <c r="P53" s="1" t="str">
        <v>2.0</v>
      </c>
      <c r="Q53" t="str">
        <f t="shared" si="0"/>
        <v>Eligible</v>
      </c>
      <c r="R53" t="str">
        <f t="shared" si="1"/>
        <v>Not Eligible</v>
      </c>
      <c r="S53" s="2">
        <v>5684</v>
      </c>
    </row>
    <row r="54" spans="5:19" x14ac:dyDescent="0.3">
      <c r="E54" s="1">
        <v>50</v>
      </c>
      <c r="F54" s="1" t="str">
        <v>SATYA</v>
      </c>
      <c r="G54" s="1" t="str">
        <v>Marketing</v>
      </c>
      <c r="H54" s="1">
        <v>10</v>
      </c>
      <c r="I54" s="1" t="str">
        <v>High School</v>
      </c>
      <c r="J54" s="1">
        <v>47</v>
      </c>
      <c r="K54" t="str">
        <v>Female</v>
      </c>
      <c r="L54" t="str">
        <v>Bangalore</v>
      </c>
      <c r="M54" s="5">
        <v>121752</v>
      </c>
      <c r="N54" s="1" t="str">
        <v>High Salary</v>
      </c>
      <c r="O54" t="str">
        <v>Senior</v>
      </c>
      <c r="P54" s="1" t="str">
        <v>4.5</v>
      </c>
      <c r="Q54" t="str">
        <f t="shared" si="0"/>
        <v>Eligible</v>
      </c>
      <c r="R54" t="str">
        <f t="shared" si="1"/>
        <v>Eligible</v>
      </c>
      <c r="S54" s="2">
        <v>12175.2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employee_salary_dataset</vt:lpstr>
      <vt:lpstr>Day-1_Basic_Functions</vt:lpstr>
      <vt:lpstr>Day-2_Logical_Functions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SaiManikya Mallikharjun</dc:creator>
  <cp:lastModifiedBy>SaiManikya Mallikharjun</cp:lastModifiedBy>
  <dcterms:created xsi:type="dcterms:W3CDTF">2026-08-03T13:08:02Z</dcterms:created>
  <dcterms:modified xsi:type="dcterms:W3CDTF">2026-08-04T05:09:53Z</dcterms:modified>
</cp:coreProperties>
</file>