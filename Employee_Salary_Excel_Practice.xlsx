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_Analytics_Project\Excel_Project\"/>
    </mc:Choice>
  </mc:AlternateContent>
  <xr:revisionPtr revIDLastSave="0" documentId="13_ncr:1_{2F25B3EB-B36C-4F1E-88C6-8458737DEC99}" xr6:coauthVersionLast="47" xr6:coauthVersionMax="47" xr10:uidLastSave="{00000000-0000-0000-0000-000000000000}"/>
  <bookViews>
    <workbookView xWindow="-108" yWindow="-108" windowWidth="23256" windowHeight="12456" activeTab="3" xr2:uid="{E3E23A51-D784-4BF5-876A-116173D79597}"/>
  </bookViews>
  <sheets>
    <sheet name="employee_salary_dataset" sheetId="1" r:id="rId1"/>
    <sheet name="Day-1_Basic_Functions" sheetId="2" r:id="rId2"/>
    <sheet name="Day-2_Logical_Functions" sheetId="3" r:id="rId3"/>
    <sheet name="Day- 3_Test_Fun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" i="4" l="1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4" i="4"/>
  <c r="F5" i="3" a="1"/>
  <c r="F5" i="3" s="1"/>
  <c r="G5" i="3" a="1"/>
  <c r="G5" i="3" s="1"/>
  <c r="E4" i="3" a="1"/>
  <c r="E4" i="3" s="1"/>
  <c r="N4" i="4" a="1"/>
  <c r="N4" i="4" s="1"/>
  <c r="M4" i="4" a="1"/>
  <c r="M4" i="4" s="1"/>
  <c r="H4" i="4" a="1"/>
  <c r="H4" i="4" s="1"/>
  <c r="K4" i="4" a="1"/>
  <c r="K4" i="4" s="1"/>
  <c r="G4" i="4" a="1"/>
  <c r="G4" i="4" s="1"/>
  <c r="J4" i="4" a="1"/>
  <c r="J4" i="4" s="1"/>
  <c r="A4" i="4" a="1"/>
  <c r="A4" i="4" s="1"/>
  <c r="E4" i="4" a="1"/>
  <c r="E4" i="4" s="1"/>
  <c r="D4" i="4" a="1"/>
  <c r="D4" i="4" s="1"/>
  <c r="B4" i="4" a="1"/>
  <c r="B4" i="4" s="1"/>
  <c r="B5" i="2"/>
  <c r="T5" i="3" a="1"/>
  <c r="T5" i="3" s="1"/>
  <c r="Q5" i="3" a="1"/>
  <c r="Q5" i="3" s="1"/>
  <c r="P5" i="3" a="1"/>
  <c r="P5" i="3" s="1"/>
  <c r="O5" i="3" a="1"/>
  <c r="O5" i="3" s="1"/>
  <c r="N5" i="3" a="1"/>
  <c r="N5" i="3" s="1"/>
  <c r="M5" i="3" a="1"/>
  <c r="M5" i="3" s="1"/>
  <c r="L5" i="3" a="1"/>
  <c r="L5" i="3" s="1"/>
  <c r="K5" i="3" a="1"/>
  <c r="K5" i="3" s="1"/>
  <c r="J5" i="3" a="1"/>
  <c r="J5" i="3" s="1"/>
  <c r="I5" i="3" a="1"/>
  <c r="I5" i="3" s="1"/>
  <c r="H5" i="3" a="1"/>
  <c r="H5" i="3" s="1"/>
  <c r="E5" i="3" a="1"/>
  <c r="E5" i="3" s="1"/>
  <c r="B41" i="2"/>
  <c r="B37" i="2"/>
  <c r="B33" i="2"/>
  <c r="B29" i="2"/>
  <c r="B25" i="2"/>
  <c r="B21" i="2"/>
  <c r="B17" i="2"/>
  <c r="B13" i="2"/>
  <c r="B9" i="2"/>
  <c r="J54" i="1"/>
  <c r="J53" i="1"/>
  <c r="J52" i="1"/>
  <c r="J55" i="1" s="1"/>
  <c r="S5" i="3" l="1"/>
  <c r="R47" i="3"/>
  <c r="R39" i="3"/>
  <c r="R31" i="3"/>
  <c r="R15" i="3"/>
  <c r="R7" i="3"/>
  <c r="S49" i="3"/>
  <c r="S41" i="3"/>
  <c r="S33" i="3"/>
  <c r="S25" i="3"/>
  <c r="S9" i="3"/>
  <c r="R54" i="3"/>
  <c r="R46" i="3"/>
  <c r="R38" i="3"/>
  <c r="R30" i="3"/>
  <c r="R22" i="3"/>
  <c r="R14" i="3"/>
  <c r="R6" i="3"/>
  <c r="S48" i="3"/>
  <c r="S40" i="3"/>
  <c r="S32" i="3"/>
  <c r="S24" i="3"/>
  <c r="S16" i="3"/>
  <c r="S8" i="3"/>
  <c r="R5" i="3"/>
  <c r="R23" i="3"/>
  <c r="S17" i="3"/>
  <c r="R51" i="3"/>
  <c r="R43" i="3"/>
  <c r="R35" i="3"/>
  <c r="R27" i="3"/>
  <c r="R19" i="3"/>
  <c r="R11" i="3"/>
  <c r="S53" i="3"/>
  <c r="S45" i="3"/>
  <c r="S37" i="3"/>
  <c r="S29" i="3"/>
  <c r="S21" i="3"/>
  <c r="S13" i="3"/>
  <c r="R53" i="3"/>
  <c r="R45" i="3"/>
  <c r="R37" i="3"/>
  <c r="R29" i="3"/>
  <c r="R21" i="3"/>
  <c r="R13" i="3"/>
  <c r="S47" i="3"/>
  <c r="S39" i="3"/>
  <c r="S31" i="3"/>
  <c r="S23" i="3"/>
  <c r="S15" i="3"/>
  <c r="S7" i="3"/>
  <c r="R52" i="3"/>
  <c r="R44" i="3"/>
  <c r="R36" i="3"/>
  <c r="R28" i="3"/>
  <c r="R20" i="3"/>
  <c r="R12" i="3"/>
  <c r="S54" i="3"/>
  <c r="S46" i="3"/>
  <c r="S38" i="3"/>
  <c r="S30" i="3"/>
  <c r="S22" i="3"/>
  <c r="S14" i="3"/>
  <c r="S6" i="3"/>
  <c r="R50" i="3"/>
  <c r="R42" i="3"/>
  <c r="R34" i="3"/>
  <c r="R26" i="3"/>
  <c r="R18" i="3"/>
  <c r="R10" i="3"/>
  <c r="S52" i="3"/>
  <c r="S44" i="3"/>
  <c r="S36" i="3"/>
  <c r="S28" i="3"/>
  <c r="S20" i="3"/>
  <c r="S12" i="3"/>
  <c r="R49" i="3"/>
  <c r="R41" i="3"/>
  <c r="R33" i="3"/>
  <c r="R25" i="3"/>
  <c r="R17" i="3"/>
  <c r="R9" i="3"/>
  <c r="S51" i="3"/>
  <c r="S43" i="3"/>
  <c r="S35" i="3"/>
  <c r="S27" i="3"/>
  <c r="S19" i="3"/>
  <c r="S11" i="3"/>
  <c r="R48" i="3"/>
  <c r="R40" i="3"/>
  <c r="R32" i="3"/>
  <c r="R24" i="3"/>
  <c r="R16" i="3"/>
  <c r="R8" i="3"/>
  <c r="S50" i="3"/>
  <c r="S42" i="3"/>
  <c r="S34" i="3"/>
  <c r="S26" i="3"/>
  <c r="S18" i="3"/>
  <c r="S1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<sst xmlns="http://schemas.openxmlformats.org/spreadsheetml/2006/main" count="477" uniqueCount="241">
  <si>
    <t>Name</t>
  </si>
  <si>
    <t>Department</t>
  </si>
  <si>
    <t>Experience_Years</t>
  </si>
  <si>
    <t>Education_Level</t>
  </si>
  <si>
    <t>Age</t>
  </si>
  <si>
    <t>Gender</t>
  </si>
  <si>
    <t>City</t>
  </si>
  <si>
    <t>Monthly_Salary</t>
  </si>
  <si>
    <t>Marketing</t>
  </si>
  <si>
    <t>Master</t>
  </si>
  <si>
    <t>Female</t>
  </si>
  <si>
    <t>Delhi</t>
  </si>
  <si>
    <t>Operations</t>
  </si>
  <si>
    <t>Bachelor</t>
  </si>
  <si>
    <t>Bangalore</t>
  </si>
  <si>
    <t>IT</t>
  </si>
  <si>
    <t>High School</t>
  </si>
  <si>
    <t>Hyderabad</t>
  </si>
  <si>
    <t>PhD</t>
  </si>
  <si>
    <t>Male</t>
  </si>
  <si>
    <t>Finance</t>
  </si>
  <si>
    <t>Mumbai</t>
  </si>
  <si>
    <t>Chennai</t>
  </si>
  <si>
    <t>HR</t>
  </si>
  <si>
    <t>AMAR</t>
  </si>
  <si>
    <t>MAHALAKSHMI</t>
  </si>
  <si>
    <t>SATYA</t>
  </si>
  <si>
    <t>NAVYA</t>
  </si>
  <si>
    <t>SAI RAJ</t>
  </si>
  <si>
    <t>SAI BINDU</t>
  </si>
  <si>
    <t>MYTHRI</t>
  </si>
  <si>
    <t>MITHALI RAJ</t>
  </si>
  <si>
    <t>MAMITA</t>
  </si>
  <si>
    <t>NITHYA</t>
  </si>
  <si>
    <t>MEGHANA</t>
  </si>
  <si>
    <t>SMRITI MANDANA</t>
  </si>
  <si>
    <t>RICHA GHOSH</t>
  </si>
  <si>
    <t>SRI CHARANI</t>
  </si>
  <si>
    <t>KAUR</t>
  </si>
  <si>
    <t>PRIYANKA KAUR</t>
  </si>
  <si>
    <t>NAMRATA</t>
  </si>
  <si>
    <t>PRAGNYA</t>
  </si>
  <si>
    <t>LILLY</t>
  </si>
  <si>
    <t>RASGNYA</t>
  </si>
  <si>
    <t>HIMA BINDU</t>
  </si>
  <si>
    <t>HEMA SRI</t>
  </si>
  <si>
    <t>SONALI</t>
  </si>
  <si>
    <t>SAMSKRUTHI</t>
  </si>
  <si>
    <t>DEEPA</t>
  </si>
  <si>
    <t>SAMHITHA</t>
  </si>
  <si>
    <t>SARANYA</t>
  </si>
  <si>
    <t>PRASANNA</t>
  </si>
  <si>
    <t>SRAVYA</t>
  </si>
  <si>
    <t>AKBAR</t>
  </si>
  <si>
    <t>ANTHONY</t>
  </si>
  <si>
    <t>SAI</t>
  </si>
  <si>
    <t>MALLIKHARJUN</t>
  </si>
  <si>
    <t>ANVESH</t>
  </si>
  <si>
    <t>SHIRISH</t>
  </si>
  <si>
    <t>SAHIL</t>
  </si>
  <si>
    <t>MURALI</t>
  </si>
  <si>
    <t>KRISHNA</t>
  </si>
  <si>
    <t>VISHNU</t>
  </si>
  <si>
    <t>VIVEK</t>
  </si>
  <si>
    <t>SAI KUMAR</t>
  </si>
  <si>
    <t>BHAVANI SHANKAR</t>
  </si>
  <si>
    <t>MANI KUMAR</t>
  </si>
  <si>
    <t>MANIKANTA</t>
  </si>
  <si>
    <t>MADHAV</t>
  </si>
  <si>
    <t>SRI RAM</t>
  </si>
  <si>
    <t>RAVI SANKAR</t>
  </si>
  <si>
    <t>SIVA KUMAR</t>
  </si>
  <si>
    <t>VIKAS</t>
  </si>
  <si>
    <t>DINESH KUMAR</t>
  </si>
  <si>
    <t>Level 1: Basic Functions</t>
  </si>
  <si>
    <t>Task 1</t>
  </si>
  <si>
    <t>Find the total number of employees.</t>
  </si>
  <si>
    <t>Task 2</t>
  </si>
  <si>
    <t>Find the average monthly salary.</t>
  </si>
  <si>
    <t>Task 3</t>
  </si>
  <si>
    <t>Find the highest salary.</t>
  </si>
  <si>
    <t>Task 4</t>
  </si>
  <si>
    <t>Find the lowest salary.</t>
  </si>
  <si>
    <t>Task 5</t>
  </si>
  <si>
    <t>Task 6</t>
  </si>
  <si>
    <t>Count the number of male employees.</t>
  </si>
  <si>
    <t>Task 7</t>
  </si>
  <si>
    <t>Count the number of female employees.</t>
  </si>
  <si>
    <t>Task 8</t>
  </si>
  <si>
    <t>Find the average experience.</t>
  </si>
  <si>
    <t>Task 9</t>
  </si>
  <si>
    <t>Find the youngest employee.</t>
  </si>
  <si>
    <t>Task 10</t>
  </si>
  <si>
    <t>Find the oldest employee.</t>
  </si>
  <si>
    <t>Find the total  Salary  paid by Company.</t>
  </si>
  <si>
    <t>Task 11 (IF)</t>
  </si>
  <si>
    <r>
      <t xml:space="preserve">If salary is </t>
    </r>
    <r>
      <rPr>
        <b/>
        <sz val="11"/>
        <color theme="1"/>
        <rFont val="Aptos Narrow"/>
        <family val="2"/>
        <scheme val="minor"/>
      </rPr>
      <t>≥ 100000</t>
    </r>
    <r>
      <rPr>
        <sz val="11"/>
        <color theme="1"/>
        <rFont val="Aptos Narrow"/>
        <family val="2"/>
        <scheme val="minor"/>
      </rPr>
      <t xml:space="preserve">, return </t>
    </r>
    <r>
      <rPr>
        <b/>
        <sz val="11"/>
        <color theme="1"/>
        <rFont val="Aptos Narrow"/>
        <family val="2"/>
        <scheme val="minor"/>
      </rPr>
      <t>"High Salary"</t>
    </r>
    <r>
      <rPr>
        <sz val="11"/>
        <color theme="1"/>
        <rFont val="Aptos Narrow"/>
        <family val="2"/>
        <scheme val="minor"/>
      </rPr>
      <t xml:space="preserve">, otherwise </t>
    </r>
    <r>
      <rPr>
        <b/>
        <sz val="11"/>
        <color theme="1"/>
        <rFont val="Aptos Narrow"/>
        <family val="2"/>
        <scheme val="minor"/>
      </rPr>
      <t>"Normal Salary"</t>
    </r>
    <r>
      <rPr>
        <sz val="11"/>
        <color theme="1"/>
        <rFont val="Aptos Narrow"/>
        <family val="2"/>
        <scheme val="minor"/>
      </rPr>
      <t>.</t>
    </r>
  </si>
  <si>
    <t>Task 12 (IF)</t>
  </si>
  <si>
    <r>
      <t xml:space="preserve">If experience is </t>
    </r>
    <r>
      <rPr>
        <b/>
        <sz val="11"/>
        <color theme="1"/>
        <rFont val="Aptos Narrow"/>
        <family val="2"/>
        <scheme val="minor"/>
      </rPr>
      <t>≥ 5 years</t>
    </r>
    <r>
      <rPr>
        <sz val="11"/>
        <color theme="1"/>
        <rFont val="Aptos Narrow"/>
        <family val="2"/>
        <scheme val="minor"/>
      </rPr>
      <t xml:space="preserve">, return </t>
    </r>
    <r>
      <rPr>
        <b/>
        <sz val="11"/>
        <color theme="1"/>
        <rFont val="Aptos Narrow"/>
        <family val="2"/>
        <scheme val="minor"/>
      </rPr>
      <t>"Senior"</t>
    </r>
    <r>
      <rPr>
        <sz val="11"/>
        <color theme="1"/>
        <rFont val="Aptos Narrow"/>
        <family val="2"/>
        <scheme val="minor"/>
      </rPr>
      <t xml:space="preserve">, otherwise </t>
    </r>
    <r>
      <rPr>
        <b/>
        <sz val="11"/>
        <color theme="1"/>
        <rFont val="Aptos Narrow"/>
        <family val="2"/>
        <scheme val="minor"/>
      </rPr>
      <t>"Junior"</t>
    </r>
    <r>
      <rPr>
        <sz val="11"/>
        <color theme="1"/>
        <rFont val="Aptos Narrow"/>
        <family val="2"/>
        <scheme val="minor"/>
      </rPr>
      <t>.</t>
    </r>
  </si>
  <si>
    <t>Task 13 (IFS)</t>
  </si>
  <si>
    <t>Assign performance grades:</t>
  </si>
  <si>
    <t>90+ → A</t>
  </si>
  <si>
    <t>80–89 → B</t>
  </si>
  <si>
    <t>70–79 → C</t>
  </si>
  <si>
    <t>60–69 → D</t>
  </si>
  <si>
    <t>Below 60 → Fail</t>
  </si>
  <si>
    <t>Task 14 (AND)</t>
  </si>
  <si>
    <t>Promotion Eligible if:</t>
  </si>
  <si>
    <t>Experience ≥ 5 years</t>
  </si>
  <si>
    <t>Performance Rating ≥ 4</t>
  </si>
  <si>
    <t>Task 15 (OR)</t>
  </si>
  <si>
    <t>Bonus Eligible if:</t>
  </si>
  <si>
    <t>Salary ≥ 80000</t>
  </si>
  <si>
    <t>Experience ≥ 10 years</t>
  </si>
  <si>
    <t>Task 16 (IFERROR)</t>
  </si>
  <si>
    <t>High_OR_LOW_Salary</t>
  </si>
  <si>
    <t>Exp_SR_JR</t>
  </si>
  <si>
    <t>Promotion_Eligibility</t>
  </si>
  <si>
    <t>Work_Rating</t>
  </si>
  <si>
    <t>Bonus_Eligibility</t>
  </si>
  <si>
    <t>Salary_Per_Experience_Year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</si>
  <si>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</si>
  <si>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</si>
  <si>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</si>
  <si>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</si>
  <si>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</si>
  <si>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</si>
  <si>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</si>
  <si>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</si>
  <si>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</si>
  <si>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</si>
  <si>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</si>
  <si>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</si>
  <si>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</si>
  <si>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</si>
  <si>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</si>
  <si>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</si>
  <si>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</si>
  <si>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</si>
  <si>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</si>
  <si>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</si>
  <si>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</si>
  <si>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</si>
  <si>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</si>
  <si>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</si>
  <si>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</si>
  <si>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</si>
  <si>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</si>
  <si>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</si>
  <si>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</si>
  <si>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</si>
  <si>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</si>
  <si>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</si>
  <si>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</si>
  <si>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</si>
  <si>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</si>
  <si>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</si>
  <si>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</si>
  <si>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</si>
  <si>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</si>
  <si>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</si>
  <si>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</si>
  <si>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</si>
  <si>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</si>
  <si>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</si>
  <si>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</si>
  <si>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</si>
  <si>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</si>
  <si>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</si>
  <si>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</si>
  <si>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</si>
  <si>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EmpID</t>
  </si>
  <si>
    <t>Task: 1  LEFT()</t>
  </si>
  <si>
    <t>Task: 2 RIGHT()</t>
  </si>
  <si>
    <t>Extract EmpID</t>
  </si>
  <si>
    <t>Contact NO</t>
  </si>
  <si>
    <t>+91 9989252836</t>
  </si>
  <si>
    <t>+91 9989252837</t>
  </si>
  <si>
    <t>Contact No Last 4 digit</t>
  </si>
  <si>
    <t>Task:3 MID()</t>
  </si>
  <si>
    <t>Gender First Letter</t>
  </si>
  <si>
    <t>Mid Contact No</t>
  </si>
  <si>
    <t>Task: 4 LEN()</t>
  </si>
  <si>
    <t xml:space="preserve">Contact No </t>
  </si>
  <si>
    <t>Task: 5 TRIM()</t>
  </si>
  <si>
    <t>Task: 16 CONCAT()</t>
  </si>
  <si>
    <t>Full Name</t>
  </si>
  <si>
    <t>First_Name</t>
  </si>
  <si>
    <t>Last_Name</t>
  </si>
  <si>
    <t>KATAMASETTI</t>
  </si>
  <si>
    <t>GANTA</t>
  </si>
  <si>
    <t>GANGUMALLA</t>
  </si>
  <si>
    <t>GANI</t>
  </si>
  <si>
    <t>GAMYAM</t>
  </si>
  <si>
    <t>GUNTURU</t>
  </si>
  <si>
    <t>GUNTURI</t>
  </si>
  <si>
    <t>GANGALAKURRU</t>
  </si>
  <si>
    <t>THOTAKURA</t>
  </si>
  <si>
    <t>THOTA</t>
  </si>
  <si>
    <t>GANTI</t>
  </si>
  <si>
    <t>GAGAM</t>
  </si>
  <si>
    <t>GEDDAM</t>
  </si>
  <si>
    <t>KHANDAVILLI</t>
  </si>
  <si>
    <t>PULLE</t>
  </si>
  <si>
    <t>YARLAGADDA</t>
  </si>
  <si>
    <t>KANCHARLA</t>
  </si>
  <si>
    <t>KUNCHE</t>
  </si>
  <si>
    <t>KAMBAMPATI</t>
  </si>
  <si>
    <t>AVANTHI</t>
  </si>
  <si>
    <t>ANNAVARAM</t>
  </si>
  <si>
    <t>ANANTHAPALLI</t>
  </si>
  <si>
    <t>YERRAMSETTY</t>
  </si>
  <si>
    <t>ADAPA</t>
  </si>
  <si>
    <t>RAYUDU</t>
  </si>
  <si>
    <t>ALLURI</t>
  </si>
  <si>
    <t>PENMASTA</t>
  </si>
  <si>
    <t>PATCHAMATLA</t>
  </si>
  <si>
    <t>KANDULA</t>
  </si>
  <si>
    <t>KONIDELA</t>
  </si>
  <si>
    <t>ALLU</t>
  </si>
  <si>
    <t>KUCHI</t>
  </si>
  <si>
    <t>KUCCHU</t>
  </si>
  <si>
    <t>KANCHE</t>
  </si>
  <si>
    <t>DAGGUBATI</t>
  </si>
  <si>
    <t>GHATTAMANENI</t>
  </si>
  <si>
    <t>NANDAMURI</t>
  </si>
  <si>
    <t>AKKINENI</t>
  </si>
  <si>
    <t>TATAVARTHY</t>
  </si>
  <si>
    <t>TANGELLA</t>
  </si>
  <si>
    <t>NADENDLA</t>
  </si>
  <si>
    <t>PANTHAM</t>
  </si>
  <si>
    <t>VANAMADI</t>
  </si>
  <si>
    <t>BOMMIDI</t>
  </si>
  <si>
    <t>PULAPARTHY</t>
  </si>
  <si>
    <t>GANDHAM</t>
  </si>
  <si>
    <t>GRANDHI</t>
  </si>
  <si>
    <t>KURRU</t>
  </si>
  <si>
    <t>KOMMIREDDY</t>
  </si>
  <si>
    <t>MUSHINI</t>
  </si>
  <si>
    <t>Email</t>
  </si>
  <si>
    <t>CONCAT() &amp; LOWER()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</si>
</sst>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  <numFmt numFmtId="165" formatCode="&quot;₹&quot;\ #,##0.00"/>
    <numFmt numFmtId="166" formatCode="&quot;₹&quot;\ #,##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/>
    <xf numFmtId="166" fontId="0" fillId="0" borderId="0" xfId="0" applyNumberFormat="1"/>
    <xf numFmtId="165" fontId="0" fillId="0" borderId="0" xfId="42" applyNumberFormat="1" applyFont="1"/>
    <xf numFmtId="165" fontId="0" fillId="0" borderId="0" xfId="0" applyNumberForma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3" fillId="33" borderId="0" xfId="0" applyFont="1" applyFill="1" applyAlignment="1">
      <alignment horizontal="center"/>
    </xf>
    <xf numFmtId="0" fontId="13" fillId="33" borderId="0" xfId="0" applyFont="1" applyFill="1"/>
    <xf numFmtId="165" fontId="13" fillId="33" borderId="0" xfId="0" applyNumberFormat="1" applyFont="1" applyFill="1" applyAlignment="1">
      <alignment horizontal="center"/>
    </xf>
    <xf numFmtId="0" fontId="21" fillId="0" borderId="0" xfId="0" applyFont="1"/>
    <xf numFmtId="0" fontId="0" fillId="0" borderId="0" xfId="0" applyNumberFormat="1" applyAlignment="1">
      <alignment horizontal="center"/>
    </xf>
    <xf numFmtId="0" fontId="16" fillId="0" borderId="0" xfId="0" applyFont="1"/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₹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18E7C1-7CC7-4A2C-A21D-27037A2AD8F1}" name="Employee" displayName="Employee" ref="A1:K52" totalsRowCount="1" dataDxfId="22">
  <autoFilter ref="A1:K51" xr:uid="{2718E7C1-7CC7-4A2C-A21D-27037A2AD8F1}"/>
  <tableColumns count="11">
    <tableColumn id="1" xr3:uid="{3FE1437F-C83C-428B-B8CC-FD3A5B6AB651}" name="EmpID" dataDxfId="14" totalsRowDxfId="10"/>
    <tableColumn id="11" xr3:uid="{91EAAFCE-5125-42EC-8B24-B8FE4A6E6DBC}" name="First_Name" dataDxfId="11" totalsRowDxfId="9"/>
    <tableColumn id="2" xr3:uid="{FC245331-D0B7-450B-8C9E-F4D938AA8470}" name="Last_Name" dataDxfId="12" totalsRowDxfId="8"/>
    <tableColumn id="3" xr3:uid="{E1EB2A29-9B08-4D60-B46D-54BE709E2B2F}" name="Department" dataDxfId="13" totalsRowDxfId="7"/>
    <tableColumn id="4" xr3:uid="{0EA88646-7B73-4F02-ACC2-21F44BFFC09F}" name="Experience_Years" dataDxfId="21" totalsRowDxfId="6"/>
    <tableColumn id="5" xr3:uid="{01E7E375-BF4B-4093-9FC6-3263F19D73EA}" name="Education_Level" dataDxfId="20" totalsRowDxfId="5"/>
    <tableColumn id="6" xr3:uid="{578B9F9E-9E0C-4922-8A00-5B08141A3B8C}" name="Age" dataDxfId="19" totalsRowDxfId="4"/>
    <tableColumn id="7" xr3:uid="{A2EEA6C3-EA14-4A3F-B4C7-7C79EE261694}" name="Gender" dataDxfId="18" totalsRowDxfId="3"/>
    <tableColumn id="8" xr3:uid="{33708B50-DB99-435A-B5E2-12CD5F5AFC20}" name="City" dataDxfId="17" totalsRowDxfId="2"/>
    <tableColumn id="9" xr3:uid="{6094140B-7232-4F15-A9CD-C3727C940FCC}" name="Monthly_Salary" totalsRowFunction="custom" dataDxfId="16" totalsRowDxfId="1">
      <totalsRowFormula>SUBTOTAL(9,J2:J51)</totalsRowFormula>
    </tableColumn>
    <tableColumn id="10" xr3:uid="{0CFD02EE-CB48-46B4-91AE-B03C6D7611BA}" name="Contact NO" dataDxfId="15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02A6-D6BB-42CA-8438-F194A13295FC}">
  <dimension ref="A1:M68"/>
  <sheetViews>
    <sheetView workbookViewId="0">
      <selection activeCell="B52" sqref="B52"/>
    </sheetView>
  </sheetViews>
  <sheetFormatPr defaultRowHeight="14.4" x14ac:dyDescent="0.3"/>
  <cols>
    <col min="1" max="1" width="13.21875" bestFit="1" customWidth="1"/>
    <col min="2" max="2" width="15" bestFit="1" customWidth="1"/>
    <col min="3" max="3" width="16.109375" style="1" customWidth="1"/>
    <col min="4" max="4" width="13.21875" bestFit="1" customWidth="1"/>
    <col min="5" max="5" width="17.88671875" bestFit="1" customWidth="1"/>
    <col min="6" max="6" width="16.33203125" customWidth="1"/>
    <col min="7" max="7" width="6.21875" bestFit="1" customWidth="1"/>
    <col min="8" max="8" width="9.33203125" bestFit="1" customWidth="1"/>
    <col min="9" max="9" width="9.77734375" bestFit="1" customWidth="1"/>
    <col min="10" max="10" width="25.88671875" customWidth="1"/>
    <col min="11" max="11" width="24.6640625" customWidth="1"/>
    <col min="13" max="13" width="13.77734375" bestFit="1" customWidth="1"/>
  </cols>
  <sheetData>
    <row r="1" spans="1:13" x14ac:dyDescent="0.3">
      <c r="A1" t="s">
        <v>171</v>
      </c>
      <c r="B1" t="s">
        <v>187</v>
      </c>
      <c r="C1" s="1" t="s">
        <v>188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s="1" t="s">
        <v>6</v>
      </c>
      <c r="J1" s="1" t="s">
        <v>7</v>
      </c>
      <c r="K1" s="1" t="s">
        <v>175</v>
      </c>
    </row>
    <row r="2" spans="1:13" x14ac:dyDescent="0.3">
      <c r="A2" s="1" t="s">
        <v>121</v>
      </c>
      <c r="B2" s="1" t="s">
        <v>189</v>
      </c>
      <c r="C2" s="1" t="s">
        <v>25</v>
      </c>
      <c r="D2" s="1" t="s">
        <v>8</v>
      </c>
      <c r="E2" s="1">
        <v>15</v>
      </c>
      <c r="F2" s="1" t="s">
        <v>9</v>
      </c>
      <c r="G2" s="1">
        <v>53</v>
      </c>
      <c r="H2" s="1" t="s">
        <v>10</v>
      </c>
      <c r="I2" s="1" t="s">
        <v>11</v>
      </c>
      <c r="J2" s="3">
        <v>111416</v>
      </c>
      <c r="K2" s="15" t="s">
        <v>176</v>
      </c>
    </row>
    <row r="3" spans="1:13" x14ac:dyDescent="0.3">
      <c r="A3" s="1" t="s">
        <v>122</v>
      </c>
      <c r="B3" s="1" t="s">
        <v>190</v>
      </c>
      <c r="C3" s="1" t="s">
        <v>29</v>
      </c>
      <c r="D3" s="1" t="s">
        <v>12</v>
      </c>
      <c r="E3" s="1">
        <v>7</v>
      </c>
      <c r="F3" s="1" t="s">
        <v>13</v>
      </c>
      <c r="G3" s="1">
        <v>25</v>
      </c>
      <c r="H3" s="1" t="s">
        <v>10</v>
      </c>
      <c r="I3" s="1" t="s">
        <v>14</v>
      </c>
      <c r="J3" s="3">
        <v>95271</v>
      </c>
      <c r="K3" s="1" t="s">
        <v>177</v>
      </c>
    </row>
    <row r="4" spans="1:13" x14ac:dyDescent="0.3">
      <c r="A4" s="1" t="s">
        <v>123</v>
      </c>
      <c r="B4" s="1" t="s">
        <v>191</v>
      </c>
      <c r="C4" s="1" t="s">
        <v>30</v>
      </c>
      <c r="D4" s="1" t="s">
        <v>15</v>
      </c>
      <c r="E4" s="1">
        <v>12</v>
      </c>
      <c r="F4" s="1" t="s">
        <v>16</v>
      </c>
      <c r="G4" s="1">
        <v>51</v>
      </c>
      <c r="H4" s="1" t="s">
        <v>10</v>
      </c>
      <c r="I4" s="1" t="s">
        <v>17</v>
      </c>
      <c r="J4" s="3">
        <v>69064</v>
      </c>
      <c r="K4" s="1" t="s">
        <v>177</v>
      </c>
      <c r="M4" s="4"/>
    </row>
    <row r="5" spans="1:13" x14ac:dyDescent="0.3">
      <c r="A5" s="1" t="s">
        <v>124</v>
      </c>
      <c r="B5" s="1" t="s">
        <v>192</v>
      </c>
      <c r="C5" s="1" t="s">
        <v>24</v>
      </c>
      <c r="D5" s="1" t="s">
        <v>12</v>
      </c>
      <c r="E5" s="1">
        <v>8</v>
      </c>
      <c r="F5" s="1" t="s">
        <v>18</v>
      </c>
      <c r="G5" s="1">
        <v>44</v>
      </c>
      <c r="H5" s="1" t="s">
        <v>19</v>
      </c>
      <c r="I5" s="1" t="s">
        <v>11</v>
      </c>
      <c r="J5" s="3">
        <v>95091</v>
      </c>
      <c r="K5" s="1" t="s">
        <v>177</v>
      </c>
    </row>
    <row r="6" spans="1:13" x14ac:dyDescent="0.3">
      <c r="A6" s="1" t="s">
        <v>125</v>
      </c>
      <c r="B6" s="1" t="s">
        <v>193</v>
      </c>
      <c r="C6" s="1" t="s">
        <v>31</v>
      </c>
      <c r="D6" s="1" t="s">
        <v>12</v>
      </c>
      <c r="E6" s="1">
        <v>15</v>
      </c>
      <c r="F6" s="1" t="s">
        <v>9</v>
      </c>
      <c r="G6" s="1">
        <v>36</v>
      </c>
      <c r="H6" s="1" t="s">
        <v>10</v>
      </c>
      <c r="I6" s="1" t="s">
        <v>11</v>
      </c>
      <c r="J6" s="3">
        <v>132450</v>
      </c>
      <c r="K6" s="1" t="s">
        <v>177</v>
      </c>
    </row>
    <row r="7" spans="1:13" x14ac:dyDescent="0.3">
      <c r="A7" s="1" t="s">
        <v>126</v>
      </c>
      <c r="B7" s="1" t="s">
        <v>194</v>
      </c>
      <c r="C7" s="1" t="s">
        <v>53</v>
      </c>
      <c r="D7" s="1" t="s">
        <v>20</v>
      </c>
      <c r="E7" s="1">
        <v>3</v>
      </c>
      <c r="F7" s="1" t="s">
        <v>16</v>
      </c>
      <c r="G7" s="1">
        <v>50</v>
      </c>
      <c r="H7" s="1" t="s">
        <v>19</v>
      </c>
      <c r="I7" s="1" t="s">
        <v>21</v>
      </c>
      <c r="J7" s="3">
        <v>65818</v>
      </c>
      <c r="K7" s="1" t="s">
        <v>177</v>
      </c>
      <c r="M7" s="4"/>
    </row>
    <row r="8" spans="1:13" x14ac:dyDescent="0.3">
      <c r="A8" s="1" t="s">
        <v>127</v>
      </c>
      <c r="B8" s="1" t="s">
        <v>195</v>
      </c>
      <c r="C8" s="1" t="s">
        <v>54</v>
      </c>
      <c r="D8" s="1" t="s">
        <v>15</v>
      </c>
      <c r="E8" s="1">
        <v>14</v>
      </c>
      <c r="F8" s="1" t="s">
        <v>18</v>
      </c>
      <c r="G8" s="1">
        <v>57</v>
      </c>
      <c r="H8" s="1" t="s">
        <v>19</v>
      </c>
      <c r="I8" s="1" t="s">
        <v>21</v>
      </c>
      <c r="J8" s="3">
        <v>70525</v>
      </c>
      <c r="K8" s="1" t="s">
        <v>177</v>
      </c>
    </row>
    <row r="9" spans="1:13" x14ac:dyDescent="0.3">
      <c r="A9" s="1" t="s">
        <v>128</v>
      </c>
      <c r="B9" s="1" t="s">
        <v>196</v>
      </c>
      <c r="C9" s="1" t="s">
        <v>32</v>
      </c>
      <c r="D9" s="1" t="s">
        <v>15</v>
      </c>
      <c r="E9" s="1">
        <v>17</v>
      </c>
      <c r="F9" s="1" t="s">
        <v>18</v>
      </c>
      <c r="G9" s="1">
        <v>34</v>
      </c>
      <c r="H9" s="1" t="s">
        <v>10</v>
      </c>
      <c r="I9" s="1" t="s">
        <v>14</v>
      </c>
      <c r="J9" s="3">
        <v>44830</v>
      </c>
      <c r="K9" s="1" t="s">
        <v>177</v>
      </c>
    </row>
    <row r="10" spans="1:13" x14ac:dyDescent="0.3">
      <c r="A10" s="1" t="s">
        <v>129</v>
      </c>
      <c r="B10" s="1" t="s">
        <v>197</v>
      </c>
      <c r="C10" s="1" t="s">
        <v>55</v>
      </c>
      <c r="D10" s="1" t="s">
        <v>15</v>
      </c>
      <c r="E10" s="1">
        <v>4</v>
      </c>
      <c r="F10" s="1" t="s">
        <v>13</v>
      </c>
      <c r="G10" s="1">
        <v>53</v>
      </c>
      <c r="H10" s="1" t="s">
        <v>19</v>
      </c>
      <c r="I10" s="1" t="s">
        <v>17</v>
      </c>
      <c r="J10" s="3">
        <v>42429</v>
      </c>
      <c r="K10" s="1" t="s">
        <v>177</v>
      </c>
    </row>
    <row r="11" spans="1:13" ht="14.4" customHeight="1" x14ac:dyDescent="0.3">
      <c r="A11" s="1" t="s">
        <v>130</v>
      </c>
      <c r="B11" s="1" t="s">
        <v>198</v>
      </c>
      <c r="C11" s="1" t="s">
        <v>56</v>
      </c>
      <c r="D11" s="1" t="s">
        <v>12</v>
      </c>
      <c r="E11" s="1">
        <v>18</v>
      </c>
      <c r="F11" s="1" t="s">
        <v>16</v>
      </c>
      <c r="G11" s="1">
        <v>28</v>
      </c>
      <c r="H11" s="1" t="s">
        <v>19</v>
      </c>
      <c r="I11" s="1" t="s">
        <v>21</v>
      </c>
      <c r="J11" s="3">
        <v>31893</v>
      </c>
      <c r="K11" s="1" t="s">
        <v>177</v>
      </c>
    </row>
    <row r="12" spans="1:13" x14ac:dyDescent="0.3">
      <c r="A12" s="1" t="s">
        <v>131</v>
      </c>
      <c r="B12" s="1" t="s">
        <v>199</v>
      </c>
      <c r="C12" s="1" t="s">
        <v>57</v>
      </c>
      <c r="D12" s="1" t="s">
        <v>8</v>
      </c>
      <c r="E12" s="1">
        <v>8</v>
      </c>
      <c r="F12" s="1" t="s">
        <v>18</v>
      </c>
      <c r="G12" s="1">
        <v>43</v>
      </c>
      <c r="H12" s="1" t="s">
        <v>19</v>
      </c>
      <c r="I12" s="1" t="s">
        <v>11</v>
      </c>
      <c r="J12" s="3">
        <v>141381</v>
      </c>
      <c r="K12" s="1" t="s">
        <v>177</v>
      </c>
    </row>
    <row r="13" spans="1:13" x14ac:dyDescent="0.3">
      <c r="A13" s="1" t="s">
        <v>132</v>
      </c>
      <c r="B13" s="1" t="s">
        <v>200</v>
      </c>
      <c r="C13" s="1" t="s">
        <v>33</v>
      </c>
      <c r="D13" s="1" t="s">
        <v>15</v>
      </c>
      <c r="E13" s="1">
        <v>4</v>
      </c>
      <c r="F13" s="1" t="s">
        <v>9</v>
      </c>
      <c r="G13" s="1">
        <v>49</v>
      </c>
      <c r="H13" s="1" t="s">
        <v>10</v>
      </c>
      <c r="I13" s="1" t="s">
        <v>17</v>
      </c>
      <c r="J13" s="3">
        <v>104909</v>
      </c>
      <c r="K13" s="1" t="s">
        <v>177</v>
      </c>
      <c r="M13" s="4"/>
    </row>
    <row r="14" spans="1:13" x14ac:dyDescent="0.3">
      <c r="A14" s="1" t="s">
        <v>133</v>
      </c>
      <c r="B14" s="1" t="s">
        <v>201</v>
      </c>
      <c r="C14" s="1" t="s">
        <v>34</v>
      </c>
      <c r="D14" s="1" t="s">
        <v>12</v>
      </c>
      <c r="E14" s="1">
        <v>2</v>
      </c>
      <c r="F14" s="1" t="s">
        <v>9</v>
      </c>
      <c r="G14" s="1">
        <v>23</v>
      </c>
      <c r="H14" s="1" t="s">
        <v>10</v>
      </c>
      <c r="I14" s="1" t="s">
        <v>17</v>
      </c>
      <c r="J14" s="3">
        <v>72333</v>
      </c>
      <c r="K14" s="1" t="s">
        <v>177</v>
      </c>
    </row>
    <row r="15" spans="1:13" x14ac:dyDescent="0.3">
      <c r="A15" s="1" t="s">
        <v>134</v>
      </c>
      <c r="B15" s="1" t="s">
        <v>202</v>
      </c>
      <c r="C15" s="1" t="s">
        <v>58</v>
      </c>
      <c r="D15" s="1" t="s">
        <v>20</v>
      </c>
      <c r="E15" s="1">
        <v>6</v>
      </c>
      <c r="F15" s="1" t="s">
        <v>13</v>
      </c>
      <c r="G15" s="1">
        <v>27</v>
      </c>
      <c r="H15" s="1" t="s">
        <v>19</v>
      </c>
      <c r="I15" s="1" t="s">
        <v>11</v>
      </c>
      <c r="J15" s="3">
        <v>28436</v>
      </c>
      <c r="K15" s="1" t="s">
        <v>177</v>
      </c>
    </row>
    <row r="16" spans="1:13" x14ac:dyDescent="0.3">
      <c r="A16" s="1" t="s">
        <v>135</v>
      </c>
      <c r="B16" s="1" t="s">
        <v>203</v>
      </c>
      <c r="C16" s="1" t="s">
        <v>35</v>
      </c>
      <c r="D16" s="1" t="s">
        <v>8</v>
      </c>
      <c r="E16" s="1">
        <v>10</v>
      </c>
      <c r="F16" s="1" t="s">
        <v>18</v>
      </c>
      <c r="G16" s="1">
        <v>49</v>
      </c>
      <c r="H16" s="1" t="s">
        <v>10</v>
      </c>
      <c r="I16" s="1" t="s">
        <v>21</v>
      </c>
      <c r="J16" s="3">
        <v>99290</v>
      </c>
      <c r="K16" s="1" t="s">
        <v>177</v>
      </c>
      <c r="M16" s="6"/>
    </row>
    <row r="17" spans="1:13" x14ac:dyDescent="0.3">
      <c r="A17" s="1" t="s">
        <v>136</v>
      </c>
      <c r="B17" s="1" t="s">
        <v>204</v>
      </c>
      <c r="C17" s="1" t="s">
        <v>36</v>
      </c>
      <c r="D17" s="1" t="s">
        <v>20</v>
      </c>
      <c r="E17" s="1">
        <v>4</v>
      </c>
      <c r="F17" s="1" t="s">
        <v>16</v>
      </c>
      <c r="G17" s="1">
        <v>49</v>
      </c>
      <c r="H17" s="1" t="s">
        <v>10</v>
      </c>
      <c r="I17" s="1" t="s">
        <v>11</v>
      </c>
      <c r="J17" s="3">
        <v>101213</v>
      </c>
      <c r="K17" s="1" t="s">
        <v>177</v>
      </c>
    </row>
    <row r="18" spans="1:13" x14ac:dyDescent="0.3">
      <c r="A18" s="1" t="s">
        <v>137</v>
      </c>
      <c r="B18" s="1" t="s">
        <v>205</v>
      </c>
      <c r="C18" s="1" t="s">
        <v>37</v>
      </c>
      <c r="D18" s="1" t="s">
        <v>8</v>
      </c>
      <c r="E18" s="1">
        <v>18</v>
      </c>
      <c r="F18" s="1" t="s">
        <v>9</v>
      </c>
      <c r="G18" s="1">
        <v>41</v>
      </c>
      <c r="H18" s="1" t="s">
        <v>10</v>
      </c>
      <c r="I18" s="1" t="s">
        <v>17</v>
      </c>
      <c r="J18" s="3">
        <v>30895</v>
      </c>
      <c r="K18" s="1" t="s">
        <v>177</v>
      </c>
    </row>
    <row r="19" spans="1:13" x14ac:dyDescent="0.3">
      <c r="A19" s="1" t="s">
        <v>138</v>
      </c>
      <c r="B19" s="1" t="s">
        <v>206</v>
      </c>
      <c r="C19" s="1" t="s">
        <v>38</v>
      </c>
      <c r="D19" s="1" t="s">
        <v>12</v>
      </c>
      <c r="E19" s="1">
        <v>12</v>
      </c>
      <c r="F19" s="1" t="s">
        <v>18</v>
      </c>
      <c r="G19" s="1">
        <v>51</v>
      </c>
      <c r="H19" s="1" t="s">
        <v>10</v>
      </c>
      <c r="I19" s="1" t="s">
        <v>22</v>
      </c>
      <c r="J19" s="3">
        <v>44738</v>
      </c>
      <c r="K19" s="1" t="s">
        <v>177</v>
      </c>
      <c r="M19" s="7"/>
    </row>
    <row r="20" spans="1:13" x14ac:dyDescent="0.3">
      <c r="A20" s="1" t="s">
        <v>139</v>
      </c>
      <c r="B20" s="1" t="s">
        <v>207</v>
      </c>
      <c r="C20" s="1" t="s">
        <v>59</v>
      </c>
      <c r="D20" s="1" t="s">
        <v>23</v>
      </c>
      <c r="E20" s="1">
        <v>2</v>
      </c>
      <c r="F20" s="1" t="s">
        <v>18</v>
      </c>
      <c r="G20" s="1">
        <v>32</v>
      </c>
      <c r="H20" s="1" t="s">
        <v>19</v>
      </c>
      <c r="I20" s="1" t="s">
        <v>22</v>
      </c>
      <c r="J20" s="3">
        <v>55746</v>
      </c>
      <c r="K20" s="1" t="s">
        <v>177</v>
      </c>
      <c r="M20" s="7"/>
    </row>
    <row r="21" spans="1:13" x14ac:dyDescent="0.3">
      <c r="A21" s="1" t="s">
        <v>140</v>
      </c>
      <c r="B21" s="1" t="s">
        <v>208</v>
      </c>
      <c r="C21" s="1" t="s">
        <v>60</v>
      </c>
      <c r="D21" s="1" t="s">
        <v>8</v>
      </c>
      <c r="E21" s="1">
        <v>10</v>
      </c>
      <c r="F21" s="1" t="s">
        <v>13</v>
      </c>
      <c r="G21" s="1">
        <v>49</v>
      </c>
      <c r="H21" s="1" t="s">
        <v>19</v>
      </c>
      <c r="I21" s="1" t="s">
        <v>14</v>
      </c>
      <c r="J21" s="3">
        <v>74377</v>
      </c>
      <c r="K21" s="1" t="s">
        <v>177</v>
      </c>
      <c r="M21" s="7"/>
    </row>
    <row r="22" spans="1:13" x14ac:dyDescent="0.3">
      <c r="A22" s="1" t="s">
        <v>141</v>
      </c>
      <c r="B22" s="1" t="s">
        <v>209</v>
      </c>
      <c r="C22" s="1" t="s">
        <v>39</v>
      </c>
      <c r="D22" s="1" t="s">
        <v>20</v>
      </c>
      <c r="E22" s="1">
        <v>4</v>
      </c>
      <c r="F22" s="1" t="s">
        <v>9</v>
      </c>
      <c r="G22" s="1">
        <v>46</v>
      </c>
      <c r="H22" s="1" t="s">
        <v>10</v>
      </c>
      <c r="I22" s="1" t="s">
        <v>11</v>
      </c>
      <c r="J22" s="3">
        <v>73404</v>
      </c>
      <c r="K22" s="1" t="s">
        <v>177</v>
      </c>
      <c r="M22" s="7"/>
    </row>
    <row r="23" spans="1:13" x14ac:dyDescent="0.3">
      <c r="A23" s="1" t="s">
        <v>142</v>
      </c>
      <c r="B23" s="1" t="s">
        <v>210</v>
      </c>
      <c r="C23" s="1" t="s">
        <v>40</v>
      </c>
      <c r="D23" s="1" t="s">
        <v>12</v>
      </c>
      <c r="E23" s="1">
        <v>14</v>
      </c>
      <c r="F23" s="1" t="s">
        <v>9</v>
      </c>
      <c r="G23" s="1">
        <v>54</v>
      </c>
      <c r="H23" s="1" t="s">
        <v>10</v>
      </c>
      <c r="I23" s="1" t="s">
        <v>11</v>
      </c>
      <c r="J23" s="3">
        <v>79045</v>
      </c>
      <c r="K23" s="1" t="s">
        <v>177</v>
      </c>
      <c r="M23" s="7"/>
    </row>
    <row r="24" spans="1:13" x14ac:dyDescent="0.3">
      <c r="A24" s="1" t="s">
        <v>143</v>
      </c>
      <c r="B24" s="1" t="s">
        <v>211</v>
      </c>
      <c r="C24" s="1" t="s">
        <v>61</v>
      </c>
      <c r="D24" s="1" t="s">
        <v>8</v>
      </c>
      <c r="E24" s="1">
        <v>16</v>
      </c>
      <c r="F24" s="1" t="s">
        <v>16</v>
      </c>
      <c r="G24" s="1">
        <v>22</v>
      </c>
      <c r="H24" s="1" t="s">
        <v>19</v>
      </c>
      <c r="I24" s="1" t="s">
        <v>14</v>
      </c>
      <c r="J24" s="3">
        <v>122888</v>
      </c>
      <c r="K24" s="1" t="s">
        <v>177</v>
      </c>
      <c r="M24" s="7"/>
    </row>
    <row r="25" spans="1:13" x14ac:dyDescent="0.3">
      <c r="A25" s="1" t="s">
        <v>144</v>
      </c>
      <c r="B25" s="1" t="s">
        <v>212</v>
      </c>
      <c r="C25" s="1" t="s">
        <v>62</v>
      </c>
      <c r="D25" s="1" t="s">
        <v>23</v>
      </c>
      <c r="E25" s="1">
        <v>15</v>
      </c>
      <c r="F25" s="1" t="s">
        <v>9</v>
      </c>
      <c r="G25" s="1">
        <v>48</v>
      </c>
      <c r="H25" s="1" t="s">
        <v>19</v>
      </c>
      <c r="I25" s="1" t="s">
        <v>14</v>
      </c>
      <c r="J25" s="3">
        <v>64790</v>
      </c>
      <c r="K25" s="1" t="s">
        <v>177</v>
      </c>
      <c r="M25" s="7"/>
    </row>
    <row r="26" spans="1:13" x14ac:dyDescent="0.3">
      <c r="A26" s="1" t="s">
        <v>145</v>
      </c>
      <c r="B26" s="1" t="s">
        <v>213</v>
      </c>
      <c r="C26" s="1" t="s">
        <v>41</v>
      </c>
      <c r="D26" s="1" t="s">
        <v>23</v>
      </c>
      <c r="E26" s="1">
        <v>8</v>
      </c>
      <c r="F26" s="1" t="s">
        <v>16</v>
      </c>
      <c r="G26" s="1">
        <v>34</v>
      </c>
      <c r="H26" s="1" t="s">
        <v>10</v>
      </c>
      <c r="I26" s="1" t="s">
        <v>14</v>
      </c>
      <c r="J26" s="3">
        <v>132455</v>
      </c>
      <c r="K26" s="1" t="s">
        <v>177</v>
      </c>
      <c r="M26" s="7"/>
    </row>
    <row r="27" spans="1:13" x14ac:dyDescent="0.3">
      <c r="A27" s="1" t="s">
        <v>146</v>
      </c>
      <c r="B27" s="1" t="s">
        <v>214</v>
      </c>
      <c r="C27" s="1" t="s">
        <v>63</v>
      </c>
      <c r="D27" s="1" t="s">
        <v>15</v>
      </c>
      <c r="E27" s="1">
        <v>14</v>
      </c>
      <c r="F27" s="1" t="s">
        <v>9</v>
      </c>
      <c r="G27" s="1">
        <v>24</v>
      </c>
      <c r="H27" s="1" t="s">
        <v>19</v>
      </c>
      <c r="I27" s="1" t="s">
        <v>17</v>
      </c>
      <c r="J27" s="3">
        <v>30600</v>
      </c>
      <c r="K27" s="1" t="s">
        <v>177</v>
      </c>
      <c r="M27" s="7"/>
    </row>
    <row r="28" spans="1:13" x14ac:dyDescent="0.3">
      <c r="A28" s="1" t="s">
        <v>147</v>
      </c>
      <c r="B28" s="1" t="s">
        <v>215</v>
      </c>
      <c r="C28" s="1" t="s">
        <v>42</v>
      </c>
      <c r="D28" s="1" t="s">
        <v>15</v>
      </c>
      <c r="E28" s="1">
        <v>8</v>
      </c>
      <c r="F28" s="1" t="s">
        <v>13</v>
      </c>
      <c r="G28" s="1">
        <v>27</v>
      </c>
      <c r="H28" s="1" t="s">
        <v>10</v>
      </c>
      <c r="I28" s="1" t="s">
        <v>11</v>
      </c>
      <c r="J28" s="3">
        <v>119660</v>
      </c>
      <c r="K28" s="1" t="s">
        <v>177</v>
      </c>
      <c r="M28" s="7"/>
    </row>
    <row r="29" spans="1:13" x14ac:dyDescent="0.3">
      <c r="A29" s="1" t="s">
        <v>148</v>
      </c>
      <c r="B29" s="1" t="s">
        <v>216</v>
      </c>
      <c r="C29" s="1" t="s">
        <v>43</v>
      </c>
      <c r="D29" s="1" t="s">
        <v>20</v>
      </c>
      <c r="E29" s="1">
        <v>16</v>
      </c>
      <c r="F29" s="1" t="s">
        <v>9</v>
      </c>
      <c r="G29" s="1">
        <v>29</v>
      </c>
      <c r="H29" s="1" t="s">
        <v>10</v>
      </c>
      <c r="I29" s="1" t="s">
        <v>17</v>
      </c>
      <c r="J29" s="3">
        <v>118179</v>
      </c>
      <c r="K29" s="1" t="s">
        <v>177</v>
      </c>
      <c r="M29" s="7"/>
    </row>
    <row r="30" spans="1:13" x14ac:dyDescent="0.3">
      <c r="A30" s="1" t="s">
        <v>149</v>
      </c>
      <c r="B30" s="1" t="s">
        <v>217</v>
      </c>
      <c r="C30" s="1" t="s">
        <v>73</v>
      </c>
      <c r="D30" s="1" t="s">
        <v>8</v>
      </c>
      <c r="E30" s="1">
        <v>13</v>
      </c>
      <c r="F30" s="1" t="s">
        <v>16</v>
      </c>
      <c r="G30" s="1">
        <v>48</v>
      </c>
      <c r="H30" s="1" t="s">
        <v>19</v>
      </c>
      <c r="I30" s="1" t="s">
        <v>14</v>
      </c>
      <c r="J30" s="3">
        <v>65764</v>
      </c>
      <c r="K30" s="1" t="s">
        <v>177</v>
      </c>
      <c r="M30" s="7"/>
    </row>
    <row r="31" spans="1:13" x14ac:dyDescent="0.3">
      <c r="A31" s="1" t="s">
        <v>150</v>
      </c>
      <c r="B31" s="1" t="s">
        <v>218</v>
      </c>
      <c r="C31" s="1" t="s">
        <v>72</v>
      </c>
      <c r="D31" s="1" t="s">
        <v>8</v>
      </c>
      <c r="E31" s="1">
        <v>18</v>
      </c>
      <c r="F31" s="1" t="s">
        <v>16</v>
      </c>
      <c r="G31" s="1">
        <v>30</v>
      </c>
      <c r="H31" s="1" t="s">
        <v>19</v>
      </c>
      <c r="I31" s="1" t="s">
        <v>11</v>
      </c>
      <c r="J31" s="3">
        <v>99543</v>
      </c>
      <c r="K31" s="1" t="s">
        <v>177</v>
      </c>
      <c r="M31" s="7"/>
    </row>
    <row r="32" spans="1:13" x14ac:dyDescent="0.3">
      <c r="A32" s="1" t="s">
        <v>151</v>
      </c>
      <c r="B32" s="1" t="s">
        <v>219</v>
      </c>
      <c r="C32" s="1" t="s">
        <v>44</v>
      </c>
      <c r="D32" s="1" t="s">
        <v>15</v>
      </c>
      <c r="E32" s="1">
        <v>15</v>
      </c>
      <c r="F32" s="1" t="s">
        <v>13</v>
      </c>
      <c r="G32" s="1">
        <v>54</v>
      </c>
      <c r="H32" s="1" t="s">
        <v>10</v>
      </c>
      <c r="I32" s="1" t="s">
        <v>17</v>
      </c>
      <c r="J32" s="3">
        <v>70714</v>
      </c>
      <c r="K32" s="1" t="s">
        <v>177</v>
      </c>
      <c r="M32" s="7"/>
    </row>
    <row r="33" spans="1:13" x14ac:dyDescent="0.3">
      <c r="A33" s="1" t="s">
        <v>152</v>
      </c>
      <c r="B33" s="1" t="s">
        <v>220</v>
      </c>
      <c r="C33" s="1" t="s">
        <v>45</v>
      </c>
      <c r="D33" s="1" t="s">
        <v>8</v>
      </c>
      <c r="E33" s="1">
        <v>13</v>
      </c>
      <c r="F33" s="1" t="s">
        <v>9</v>
      </c>
      <c r="G33" s="1">
        <v>45</v>
      </c>
      <c r="H33" s="1" t="s">
        <v>10</v>
      </c>
      <c r="I33" s="1" t="s">
        <v>17</v>
      </c>
      <c r="J33" s="3">
        <v>81835</v>
      </c>
      <c r="K33" s="1" t="s">
        <v>177</v>
      </c>
      <c r="M33" s="7"/>
    </row>
    <row r="34" spans="1:13" x14ac:dyDescent="0.3">
      <c r="A34" s="1" t="s">
        <v>153</v>
      </c>
      <c r="B34" s="1" t="s">
        <v>221</v>
      </c>
      <c r="C34" s="1" t="s">
        <v>71</v>
      </c>
      <c r="D34" s="1" t="s">
        <v>8</v>
      </c>
      <c r="E34" s="1">
        <v>9</v>
      </c>
      <c r="F34" s="1" t="s">
        <v>9</v>
      </c>
      <c r="G34" s="1">
        <v>36</v>
      </c>
      <c r="H34" s="1" t="s">
        <v>19</v>
      </c>
      <c r="I34" s="1" t="s">
        <v>14</v>
      </c>
      <c r="J34" s="3">
        <v>127946</v>
      </c>
      <c r="K34" s="1" t="s">
        <v>177</v>
      </c>
      <c r="M34" s="7"/>
    </row>
    <row r="35" spans="1:13" x14ac:dyDescent="0.3">
      <c r="A35" s="1" t="s">
        <v>154</v>
      </c>
      <c r="B35" s="1" t="s">
        <v>223</v>
      </c>
      <c r="C35" s="1" t="s">
        <v>46</v>
      </c>
      <c r="D35" s="1" t="s">
        <v>23</v>
      </c>
      <c r="E35" s="1">
        <v>15</v>
      </c>
      <c r="F35" s="1" t="s">
        <v>13</v>
      </c>
      <c r="G35" s="1">
        <v>53</v>
      </c>
      <c r="H35" s="1" t="s">
        <v>10</v>
      </c>
      <c r="I35" s="1" t="s">
        <v>11</v>
      </c>
      <c r="J35" s="3">
        <v>134616</v>
      </c>
      <c r="K35" s="1" t="s">
        <v>177</v>
      </c>
      <c r="M35" s="7"/>
    </row>
    <row r="36" spans="1:13" x14ac:dyDescent="0.3">
      <c r="A36" s="1" t="s">
        <v>155</v>
      </c>
      <c r="B36" s="1" t="s">
        <v>222</v>
      </c>
      <c r="C36" s="1" t="s">
        <v>70</v>
      </c>
      <c r="D36" s="1" t="s">
        <v>15</v>
      </c>
      <c r="E36" s="1">
        <v>13</v>
      </c>
      <c r="F36" s="1" t="s">
        <v>9</v>
      </c>
      <c r="G36" s="1">
        <v>53</v>
      </c>
      <c r="H36" s="1" t="s">
        <v>19</v>
      </c>
      <c r="I36" s="1" t="s">
        <v>14</v>
      </c>
      <c r="J36" s="3">
        <v>130983</v>
      </c>
      <c r="K36" s="1" t="s">
        <v>177</v>
      </c>
      <c r="M36" s="7"/>
    </row>
    <row r="37" spans="1:13" x14ac:dyDescent="0.3">
      <c r="A37" s="1" t="s">
        <v>156</v>
      </c>
      <c r="B37" s="1" t="s">
        <v>224</v>
      </c>
      <c r="C37" s="1" t="s">
        <v>47</v>
      </c>
      <c r="D37" s="1" t="s">
        <v>12</v>
      </c>
      <c r="E37" s="1">
        <v>1</v>
      </c>
      <c r="F37" s="1" t="s">
        <v>9</v>
      </c>
      <c r="G37" s="1">
        <v>45</v>
      </c>
      <c r="H37" s="1" t="s">
        <v>10</v>
      </c>
      <c r="I37" s="1" t="s">
        <v>11</v>
      </c>
      <c r="J37" s="3">
        <v>98744</v>
      </c>
      <c r="K37" s="1" t="s">
        <v>177</v>
      </c>
      <c r="M37" s="7"/>
    </row>
    <row r="38" spans="1:13" x14ac:dyDescent="0.3">
      <c r="A38" s="1" t="s">
        <v>157</v>
      </c>
      <c r="B38" s="1" t="s">
        <v>225</v>
      </c>
      <c r="C38" s="1" t="s">
        <v>69</v>
      </c>
      <c r="D38" s="1" t="s">
        <v>15</v>
      </c>
      <c r="E38" s="1">
        <v>7</v>
      </c>
      <c r="F38" s="1" t="s">
        <v>16</v>
      </c>
      <c r="G38" s="1">
        <v>33</v>
      </c>
      <c r="H38" s="1" t="s">
        <v>19</v>
      </c>
      <c r="I38" s="1" t="s">
        <v>22</v>
      </c>
      <c r="J38" s="3">
        <v>81491</v>
      </c>
      <c r="K38" s="1" t="s">
        <v>177</v>
      </c>
      <c r="M38" s="7"/>
    </row>
    <row r="39" spans="1:13" x14ac:dyDescent="0.3">
      <c r="A39" s="1" t="s">
        <v>158</v>
      </c>
      <c r="B39" s="1" t="s">
        <v>226</v>
      </c>
      <c r="C39" s="1" t="s">
        <v>68</v>
      </c>
      <c r="D39" s="1" t="s">
        <v>12</v>
      </c>
      <c r="E39" s="1">
        <v>9</v>
      </c>
      <c r="F39" s="1" t="s">
        <v>9</v>
      </c>
      <c r="G39" s="1">
        <v>23</v>
      </c>
      <c r="H39" s="1" t="s">
        <v>19</v>
      </c>
      <c r="I39" s="1" t="s">
        <v>21</v>
      </c>
      <c r="J39" s="3">
        <v>149123</v>
      </c>
      <c r="K39" s="1" t="s">
        <v>177</v>
      </c>
      <c r="M39" s="7"/>
    </row>
    <row r="40" spans="1:13" x14ac:dyDescent="0.3">
      <c r="A40" s="1" t="s">
        <v>159</v>
      </c>
      <c r="B40" s="1" t="s">
        <v>227</v>
      </c>
      <c r="C40" s="1" t="s">
        <v>67</v>
      </c>
      <c r="D40" s="1" t="s">
        <v>23</v>
      </c>
      <c r="E40" s="1">
        <v>1</v>
      </c>
      <c r="F40" s="1" t="s">
        <v>9</v>
      </c>
      <c r="G40" s="1">
        <v>24</v>
      </c>
      <c r="H40" s="1" t="s">
        <v>19</v>
      </c>
      <c r="I40" s="1" t="s">
        <v>21</v>
      </c>
      <c r="J40" s="3">
        <v>43589</v>
      </c>
      <c r="K40" s="1" t="s">
        <v>177</v>
      </c>
      <c r="M40" s="7"/>
    </row>
    <row r="41" spans="1:13" x14ac:dyDescent="0.3">
      <c r="A41" s="1" t="s">
        <v>160</v>
      </c>
      <c r="B41" s="1" t="s">
        <v>228</v>
      </c>
      <c r="C41" s="1" t="s">
        <v>48</v>
      </c>
      <c r="D41" s="1" t="s">
        <v>20</v>
      </c>
      <c r="E41" s="1">
        <v>12</v>
      </c>
      <c r="F41" s="1" t="s">
        <v>13</v>
      </c>
      <c r="G41" s="1">
        <v>38</v>
      </c>
      <c r="H41" s="1" t="s">
        <v>10</v>
      </c>
      <c r="I41" s="1" t="s">
        <v>21</v>
      </c>
      <c r="J41" s="3">
        <v>68484</v>
      </c>
      <c r="K41" s="1" t="s">
        <v>177</v>
      </c>
      <c r="M41" s="7"/>
    </row>
    <row r="42" spans="1:13" x14ac:dyDescent="0.3">
      <c r="A42" s="1" t="s">
        <v>161</v>
      </c>
      <c r="B42" s="1" t="s">
        <v>229</v>
      </c>
      <c r="C42" s="1" t="s">
        <v>49</v>
      </c>
      <c r="D42" s="1" t="s">
        <v>8</v>
      </c>
      <c r="E42" s="1">
        <v>8</v>
      </c>
      <c r="F42" s="1" t="s">
        <v>13</v>
      </c>
      <c r="G42" s="1">
        <v>23</v>
      </c>
      <c r="H42" s="1" t="s">
        <v>10</v>
      </c>
      <c r="I42" s="1" t="s">
        <v>14</v>
      </c>
      <c r="J42" s="3">
        <v>107989</v>
      </c>
      <c r="K42" s="1" t="s">
        <v>177</v>
      </c>
      <c r="M42" s="7"/>
    </row>
    <row r="43" spans="1:13" x14ac:dyDescent="0.3">
      <c r="A43" s="1" t="s">
        <v>162</v>
      </c>
      <c r="B43" s="1" t="s">
        <v>230</v>
      </c>
      <c r="C43" s="1" t="s">
        <v>66</v>
      </c>
      <c r="D43" s="1" t="s">
        <v>23</v>
      </c>
      <c r="E43" s="1">
        <v>11</v>
      </c>
      <c r="F43" s="1" t="s">
        <v>18</v>
      </c>
      <c r="G43" s="1">
        <v>23</v>
      </c>
      <c r="H43" s="1" t="s">
        <v>19</v>
      </c>
      <c r="I43" s="1" t="s">
        <v>22</v>
      </c>
      <c r="J43" s="3">
        <v>61212</v>
      </c>
      <c r="K43" s="1" t="s">
        <v>177</v>
      </c>
      <c r="M43" s="7"/>
    </row>
    <row r="44" spans="1:13" x14ac:dyDescent="0.3">
      <c r="A44" s="1" t="s">
        <v>163</v>
      </c>
      <c r="B44" s="1" t="s">
        <v>231</v>
      </c>
      <c r="C44" s="1" t="s">
        <v>50</v>
      </c>
      <c r="D44" s="1" t="s">
        <v>8</v>
      </c>
      <c r="E44" s="1">
        <v>19</v>
      </c>
      <c r="F44" s="1" t="s">
        <v>16</v>
      </c>
      <c r="G44" s="1">
        <v>49</v>
      </c>
      <c r="H44" s="1" t="s">
        <v>10</v>
      </c>
      <c r="I44" s="1" t="s">
        <v>11</v>
      </c>
      <c r="J44" s="3">
        <v>68525</v>
      </c>
      <c r="K44" s="1" t="s">
        <v>177</v>
      </c>
      <c r="M44" s="7"/>
    </row>
    <row r="45" spans="1:13" x14ac:dyDescent="0.3">
      <c r="A45" s="1" t="s">
        <v>164</v>
      </c>
      <c r="B45" s="1" t="s">
        <v>232</v>
      </c>
      <c r="C45" s="1" t="s">
        <v>65</v>
      </c>
      <c r="D45" s="1" t="s">
        <v>20</v>
      </c>
      <c r="E45" s="1">
        <v>17</v>
      </c>
      <c r="F45" s="1" t="s">
        <v>9</v>
      </c>
      <c r="G45" s="1">
        <v>44</v>
      </c>
      <c r="H45" s="1" t="s">
        <v>19</v>
      </c>
      <c r="I45" s="1" t="s">
        <v>17</v>
      </c>
      <c r="J45" s="3">
        <v>72202</v>
      </c>
      <c r="K45" s="1" t="s">
        <v>177</v>
      </c>
      <c r="M45" s="7"/>
    </row>
    <row r="46" spans="1:13" x14ac:dyDescent="0.3">
      <c r="A46" s="1" t="s">
        <v>165</v>
      </c>
      <c r="B46" s="1" t="s">
        <v>233</v>
      </c>
      <c r="C46" s="1" t="s">
        <v>64</v>
      </c>
      <c r="D46" s="1" t="s">
        <v>20</v>
      </c>
      <c r="E46" s="1">
        <v>8</v>
      </c>
      <c r="F46" s="1" t="s">
        <v>9</v>
      </c>
      <c r="G46" s="1">
        <v>53</v>
      </c>
      <c r="H46" s="1" t="s">
        <v>19</v>
      </c>
      <c r="I46" s="1" t="s">
        <v>11</v>
      </c>
      <c r="J46" s="3">
        <v>57635</v>
      </c>
      <c r="K46" s="1" t="s">
        <v>177</v>
      </c>
      <c r="M46" s="7"/>
    </row>
    <row r="47" spans="1:13" x14ac:dyDescent="0.3">
      <c r="A47" s="1" t="s">
        <v>166</v>
      </c>
      <c r="B47" s="1" t="s">
        <v>234</v>
      </c>
      <c r="C47" s="1" t="s">
        <v>51</v>
      </c>
      <c r="D47" s="1" t="s">
        <v>23</v>
      </c>
      <c r="E47" s="1">
        <v>3</v>
      </c>
      <c r="F47" s="1" t="s">
        <v>18</v>
      </c>
      <c r="G47" s="1">
        <v>54</v>
      </c>
      <c r="H47" s="1" t="s">
        <v>10</v>
      </c>
      <c r="I47" s="1" t="s">
        <v>17</v>
      </c>
      <c r="J47" s="3">
        <v>88208</v>
      </c>
      <c r="K47" s="1" t="s">
        <v>177</v>
      </c>
      <c r="M47" s="7"/>
    </row>
    <row r="48" spans="1:13" x14ac:dyDescent="0.3">
      <c r="A48" s="1" t="s">
        <v>167</v>
      </c>
      <c r="B48" s="1" t="s">
        <v>235</v>
      </c>
      <c r="C48" s="1" t="s">
        <v>52</v>
      </c>
      <c r="D48" s="1" t="s">
        <v>20</v>
      </c>
      <c r="E48" s="1">
        <v>3</v>
      </c>
      <c r="F48" s="1" t="s">
        <v>9</v>
      </c>
      <c r="G48" s="1">
        <v>22</v>
      </c>
      <c r="H48" s="1" t="s">
        <v>10</v>
      </c>
      <c r="I48" s="1" t="s">
        <v>11</v>
      </c>
      <c r="J48" s="3">
        <v>58828</v>
      </c>
      <c r="K48" s="1" t="s">
        <v>177</v>
      </c>
      <c r="M48" s="7"/>
    </row>
    <row r="49" spans="1:13" x14ac:dyDescent="0.3">
      <c r="A49" s="1" t="s">
        <v>168</v>
      </c>
      <c r="B49" s="1" t="s">
        <v>236</v>
      </c>
      <c r="C49" s="1" t="s">
        <v>28</v>
      </c>
      <c r="D49" s="1" t="s">
        <v>12</v>
      </c>
      <c r="E49" s="1">
        <v>1</v>
      </c>
      <c r="F49" s="1" t="s">
        <v>16</v>
      </c>
      <c r="G49" s="1">
        <v>40</v>
      </c>
      <c r="H49" s="1" t="s">
        <v>19</v>
      </c>
      <c r="I49" s="1" t="s">
        <v>22</v>
      </c>
      <c r="J49" s="3">
        <v>43711</v>
      </c>
      <c r="K49" s="1" t="s">
        <v>177</v>
      </c>
      <c r="M49" s="7"/>
    </row>
    <row r="50" spans="1:13" x14ac:dyDescent="0.3">
      <c r="A50" s="1" t="s">
        <v>169</v>
      </c>
      <c r="B50" s="1" t="s">
        <v>237</v>
      </c>
      <c r="C50" s="1" t="s">
        <v>27</v>
      </c>
      <c r="D50" s="1" t="s">
        <v>20</v>
      </c>
      <c r="E50" s="1">
        <v>5</v>
      </c>
      <c r="F50" s="1" t="s">
        <v>18</v>
      </c>
      <c r="G50" s="1">
        <v>23</v>
      </c>
      <c r="H50" s="1" t="s">
        <v>10</v>
      </c>
      <c r="I50" s="1" t="s">
        <v>17</v>
      </c>
      <c r="J50" s="3">
        <v>28420</v>
      </c>
      <c r="K50" s="1" t="s">
        <v>177</v>
      </c>
      <c r="M50" s="7"/>
    </row>
    <row r="51" spans="1:13" x14ac:dyDescent="0.3">
      <c r="A51" s="1" t="s">
        <v>170</v>
      </c>
      <c r="B51" s="1" t="s">
        <v>238</v>
      </c>
      <c r="C51" s="1" t="s">
        <v>26</v>
      </c>
      <c r="D51" s="1" t="s">
        <v>8</v>
      </c>
      <c r="E51" s="1">
        <v>10</v>
      </c>
      <c r="F51" s="1" t="s">
        <v>16</v>
      </c>
      <c r="G51" s="1">
        <v>47</v>
      </c>
      <c r="H51" s="1" t="s">
        <v>10</v>
      </c>
      <c r="I51" s="1" t="s">
        <v>14</v>
      </c>
      <c r="J51" s="3">
        <v>121752</v>
      </c>
      <c r="K51" s="1" t="s">
        <v>177</v>
      </c>
      <c r="M51" s="7"/>
    </row>
    <row r="52" spans="1:13" x14ac:dyDescent="0.3">
      <c r="A52" s="1"/>
      <c r="B52" s="1"/>
      <c r="D52" s="1"/>
      <c r="E52" s="1"/>
      <c r="F52" s="1"/>
      <c r="G52" s="1"/>
      <c r="H52" s="1"/>
      <c r="I52" s="1"/>
      <c r="J52" s="2">
        <f>SUBTOTAL(9,J2:J51)</f>
        <v>4114440</v>
      </c>
      <c r="K52" s="1"/>
      <c r="M52" s="7"/>
    </row>
    <row r="53" spans="1:13" x14ac:dyDescent="0.3">
      <c r="J53" s="5">
        <f>AVERAGE(J2:J51)</f>
        <v>82288.800000000003</v>
      </c>
      <c r="M53" s="7"/>
    </row>
    <row r="54" spans="1:13" x14ac:dyDescent="0.3">
      <c r="J54" s="5">
        <f>MAX(J2:J51)</f>
        <v>149123</v>
      </c>
      <c r="M54" s="7"/>
    </row>
    <row r="55" spans="1:13" x14ac:dyDescent="0.3">
      <c r="J55" s="5">
        <f>MIN(J2:J52)</f>
        <v>28420</v>
      </c>
      <c r="M55" s="7"/>
    </row>
    <row r="56" spans="1:13" x14ac:dyDescent="0.3">
      <c r="M56" s="7"/>
    </row>
    <row r="57" spans="1:13" x14ac:dyDescent="0.3">
      <c r="M57" s="7"/>
    </row>
    <row r="58" spans="1:13" x14ac:dyDescent="0.3">
      <c r="M58" s="7"/>
    </row>
    <row r="59" spans="1:13" x14ac:dyDescent="0.3">
      <c r="M59" s="7"/>
    </row>
    <row r="60" spans="1:13" x14ac:dyDescent="0.3">
      <c r="M60" s="7"/>
    </row>
    <row r="61" spans="1:13" x14ac:dyDescent="0.3">
      <c r="M61" s="7"/>
    </row>
    <row r="62" spans="1:13" x14ac:dyDescent="0.3">
      <c r="M62" s="7"/>
    </row>
    <row r="63" spans="1:13" x14ac:dyDescent="0.3">
      <c r="M63" s="7"/>
    </row>
    <row r="64" spans="1:13" x14ac:dyDescent="0.3">
      <c r="M64" s="7"/>
    </row>
    <row r="65" spans="13:13" x14ac:dyDescent="0.3">
      <c r="M65" s="7"/>
    </row>
    <row r="66" spans="13:13" x14ac:dyDescent="0.3">
      <c r="M66" s="7"/>
    </row>
    <row r="67" spans="13:13" x14ac:dyDescent="0.3">
      <c r="M67" s="7"/>
    </row>
    <row r="68" spans="13:13" x14ac:dyDescent="0.3">
      <c r="M68" s="7"/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ECB3-AA30-42C5-978B-67276AEB6508}">
  <dimension ref="A1:B41"/>
  <sheetViews>
    <sheetView workbookViewId="0">
      <selection activeCell="C49" sqref="C49"/>
    </sheetView>
  </sheetViews>
  <sheetFormatPr defaultRowHeight="14.4" x14ac:dyDescent="0.3"/>
  <cols>
    <col min="1" max="1" width="46" bestFit="1" customWidth="1"/>
    <col min="2" max="2" width="13.109375" bestFit="1" customWidth="1"/>
  </cols>
  <sheetData>
    <row r="1" spans="1:2" ht="31.2" x14ac:dyDescent="0.3">
      <c r="A1" s="8" t="s">
        <v>74</v>
      </c>
    </row>
    <row r="3" spans="1:2" ht="18" x14ac:dyDescent="0.3">
      <c r="A3" s="9" t="s">
        <v>75</v>
      </c>
    </row>
    <row r="5" spans="1:2" x14ac:dyDescent="0.3">
      <c r="A5" t="s">
        <v>76</v>
      </c>
      <c r="B5">
        <f>COUNTA(Employee[EmpID])</f>
        <v>50</v>
      </c>
    </row>
    <row r="7" spans="1:2" ht="18" x14ac:dyDescent="0.3">
      <c r="A7" s="9" t="s">
        <v>77</v>
      </c>
    </row>
    <row r="9" spans="1:2" x14ac:dyDescent="0.3">
      <c r="A9" t="s">
        <v>78</v>
      </c>
      <c r="B9" s="5">
        <f>AVERAGE(Employee[Monthly_Salary])</f>
        <v>82288.800000000003</v>
      </c>
    </row>
    <row r="11" spans="1:2" ht="18" x14ac:dyDescent="0.3">
      <c r="A11" s="9" t="s">
        <v>79</v>
      </c>
    </row>
    <row r="13" spans="1:2" x14ac:dyDescent="0.3">
      <c r="A13" t="s">
        <v>80</v>
      </c>
      <c r="B13" s="5">
        <f>MAX(Employee[Monthly_Salary])</f>
        <v>149123</v>
      </c>
    </row>
    <row r="15" spans="1:2" ht="18" x14ac:dyDescent="0.3">
      <c r="A15" s="9" t="s">
        <v>81</v>
      </c>
    </row>
    <row r="17" spans="1:2" x14ac:dyDescent="0.3">
      <c r="A17" t="s">
        <v>82</v>
      </c>
      <c r="B17" s="5">
        <f>MIN(Employee[Monthly_Salary])</f>
        <v>28420</v>
      </c>
    </row>
    <row r="19" spans="1:2" ht="18" x14ac:dyDescent="0.3">
      <c r="A19" s="9" t="s">
        <v>83</v>
      </c>
    </row>
    <row r="21" spans="1:2" x14ac:dyDescent="0.3">
      <c r="A21" t="s">
        <v>94</v>
      </c>
      <c r="B21" s="5">
        <f>SUM(Employee[Monthly_Salary])</f>
        <v>4114440</v>
      </c>
    </row>
    <row r="23" spans="1:2" ht="18" x14ac:dyDescent="0.3">
      <c r="A23" s="9" t="s">
        <v>84</v>
      </c>
    </row>
    <row r="25" spans="1:2" x14ac:dyDescent="0.3">
      <c r="A25" t="s">
        <v>85</v>
      </c>
      <c r="B25">
        <f>COUNTIF(Employee[Gender], "Male")</f>
        <v>23</v>
      </c>
    </row>
    <row r="27" spans="1:2" ht="18" x14ac:dyDescent="0.3">
      <c r="A27" s="9" t="s">
        <v>86</v>
      </c>
    </row>
    <row r="29" spans="1:2" x14ac:dyDescent="0.3">
      <c r="A29" t="s">
        <v>87</v>
      </c>
      <c r="B29">
        <f>COUNTIF(Employee[Gender], "Female")</f>
        <v>27</v>
      </c>
    </row>
    <row r="31" spans="1:2" ht="18" x14ac:dyDescent="0.3">
      <c r="A31" s="9" t="s">
        <v>88</v>
      </c>
    </row>
    <row r="33" spans="1:2" x14ac:dyDescent="0.3">
      <c r="A33" t="s">
        <v>89</v>
      </c>
      <c r="B33">
        <f>AVERAGE(Employee[Experience_Years])</f>
        <v>9.9</v>
      </c>
    </row>
    <row r="35" spans="1:2" ht="18" x14ac:dyDescent="0.3">
      <c r="A35" s="9" t="s">
        <v>90</v>
      </c>
    </row>
    <row r="37" spans="1:2" x14ac:dyDescent="0.3">
      <c r="A37" t="s">
        <v>91</v>
      </c>
      <c r="B37">
        <f>MIN(Employee[Age])</f>
        <v>22</v>
      </c>
    </row>
    <row r="39" spans="1:2" ht="18" x14ac:dyDescent="0.3">
      <c r="A39" s="9" t="s">
        <v>92</v>
      </c>
    </row>
    <row r="41" spans="1:2" x14ac:dyDescent="0.3">
      <c r="A41" t="s">
        <v>93</v>
      </c>
      <c r="B41">
        <f>MAX(Employee[Age])</f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4A34-ECC8-4600-9C77-675E96331BD9}">
  <dimension ref="A3:U54"/>
  <sheetViews>
    <sheetView workbookViewId="0">
      <selection activeCell="F6" sqref="F6"/>
    </sheetView>
  </sheetViews>
  <sheetFormatPr defaultRowHeight="14.4" x14ac:dyDescent="0.3"/>
  <cols>
    <col min="1" max="1" width="57.6640625" bestFit="1" customWidth="1"/>
    <col min="5" max="5" width="10.44140625" style="1" bestFit="1" customWidth="1"/>
    <col min="6" max="6" width="15" style="1" bestFit="1" customWidth="1"/>
    <col min="7" max="7" width="17" style="1" bestFit="1" customWidth="1"/>
    <col min="8" max="8" width="10.5546875" style="1" bestFit="1" customWidth="1"/>
    <col min="9" max="9" width="15.33203125" style="1" bestFit="1" customWidth="1"/>
    <col min="10" max="10" width="14" style="1" bestFit="1" customWidth="1"/>
    <col min="11" max="11" width="8.88671875" style="1"/>
    <col min="14" max="14" width="13.6640625" bestFit="1" customWidth="1"/>
    <col min="15" max="15" width="18.44140625" style="1" bestFit="1" customWidth="1"/>
    <col min="16" max="16" width="9.5546875" bestFit="1" customWidth="1"/>
    <col min="17" max="17" width="15.77734375" style="1" bestFit="1" customWidth="1"/>
    <col min="18" max="18" width="18.5546875" bestFit="1" customWidth="1"/>
    <col min="19" max="19" width="14.77734375" bestFit="1" customWidth="1"/>
    <col min="20" max="20" width="54.88671875" style="2" bestFit="1" customWidth="1"/>
  </cols>
  <sheetData>
    <row r="3" spans="1:21" ht="18" x14ac:dyDescent="0.3">
      <c r="A3" s="9" t="s">
        <v>95</v>
      </c>
    </row>
    <row r="4" spans="1:21" x14ac:dyDescent="0.3">
      <c r="E4" s="11" t="str" cm="1">
        <f t="array" ref="E4:O4">Employee[#Headers]</f>
        <v>EmpID</v>
      </c>
      <c r="F4" s="11" t="str">
        <v>First_Name</v>
      </c>
      <c r="G4" s="11" t="str">
        <v>Last_Name</v>
      </c>
      <c r="H4" s="11" t="str">
        <v>Department</v>
      </c>
      <c r="I4" s="11" t="str">
        <v>Experience_Years</v>
      </c>
      <c r="J4" s="11" t="str">
        <v>Education_Level</v>
      </c>
      <c r="K4" s="11" t="str">
        <v>Age</v>
      </c>
      <c r="L4" s="11" t="str">
        <v>Gender</v>
      </c>
      <c r="M4" s="12" t="str">
        <v>City</v>
      </c>
      <c r="N4" s="12" t="str">
        <v>Monthly_Salary</v>
      </c>
      <c r="O4" s="12" t="str">
        <v>Contact NO</v>
      </c>
      <c r="P4" s="11" t="s">
        <v>115</v>
      </c>
      <c r="Q4" s="12" t="s">
        <v>116</v>
      </c>
      <c r="R4" s="11" t="s">
        <v>118</v>
      </c>
      <c r="S4" s="12" t="s">
        <v>117</v>
      </c>
      <c r="T4" s="11" t="s">
        <v>119</v>
      </c>
      <c r="U4" s="13" t="s">
        <v>120</v>
      </c>
    </row>
    <row r="5" spans="1:21" x14ac:dyDescent="0.3">
      <c r="A5" t="s">
        <v>96</v>
      </c>
      <c r="E5" s="1" t="str" cm="1">
        <f t="array" ref="E5:E54">Employee[EmpID]</f>
        <v>Emp101</v>
      </c>
      <c r="F5" s="1" t="str" cm="1">
        <f t="array" ref="F5:F54">Employee[First_Name]</f>
        <v>KATAMASETTI</v>
      </c>
      <c r="G5" s="1" t="str" cm="1">
        <f t="array" ref="G5:G54">Employee[Last_Name]</f>
        <v>MAHALAKSHMI</v>
      </c>
      <c r="H5" s="1" t="str" cm="1">
        <f t="array" ref="H5:H54">(Employee[Department])</f>
        <v>Marketing</v>
      </c>
      <c r="I5" s="1" cm="1">
        <f t="array" ref="I5:I54">(Employee[Experience_Years])</f>
        <v>15</v>
      </c>
      <c r="J5" s="1" t="str" cm="1">
        <f t="array" ref="J5:J54">(Employee[Education_Level])</f>
        <v>Master</v>
      </c>
      <c r="K5" s="1" cm="1">
        <f t="array" ref="K5:K54">(Employee[Age])</f>
        <v>53</v>
      </c>
      <c r="L5" t="str" cm="1">
        <f t="array" ref="L5:L54">(Employee[Gender])</f>
        <v>Female</v>
      </c>
      <c r="M5" t="str" cm="1">
        <f t="array" ref="M5:M54">(Employee[City])</f>
        <v>Delhi</v>
      </c>
      <c r="N5" s="5" cm="1">
        <f t="array" ref="N5:N54">(Employee[Monthly_Salary])</f>
        <v>111416</v>
      </c>
      <c r="O5" s="1" t="str" cm="1">
        <f t="array" ref="O5:O54">IF(Employee[Monthly_Salary] &gt;= 100000, "High Salary",  "Normal Salary")</f>
        <v>High Salary</v>
      </c>
      <c r="P5" t="str" cm="1">
        <f t="array" ref="P5:P54">IF(Employee[Experience_Years]&gt;=5,"Senior","Junior")</f>
        <v>Senior</v>
      </c>
      <c r="Q5" s="1" t="str" cm="1">
        <f t="array" ref="Q5:Q54">_xlfn.IFS(Employee[Monthly_Salary] &gt;= 100000,"4.5", Employee[Monthly_Salary] &gt;= 80000,"4.0", Employee[Monthly_Salary] &gt;= 60000,"3.5",Employee[Monthly_Salary] &gt;= 50000,"3.0",Employee[Monthly_Salary] &gt;= 40000,"2.5", Employee[Monthly_Salary] &lt;  40000, "2.0")</f>
        <v>4.5</v>
      </c>
      <c r="R5" t="str">
        <f>IF(AND(I5&gt;=5,Q5&gt;=4),"Eligible","Not Eligible")</f>
        <v>Eligible</v>
      </c>
      <c r="S5" t="str">
        <f>IF(AND(I5&gt;=10,N5&gt;=80000),"Eligible","Not Eligible")</f>
        <v>Eligible</v>
      </c>
      <c r="T5" s="2" cm="1">
        <f t="array" ref="T5:T54">IFERROR(ROUND(Employee[Monthly_Salary]/Employee[Experience_Years],2),"Check Data")</f>
        <v>7427.73</v>
      </c>
    </row>
    <row r="6" spans="1:21" x14ac:dyDescent="0.3">
      <c r="E6" s="1" t="str">
        <v>Emp102</v>
      </c>
      <c r="F6" s="1" t="str">
        <v>GANTA</v>
      </c>
      <c r="G6" s="1" t="str">
        <v>SAI BINDU</v>
      </c>
      <c r="H6" s="1" t="str">
        <v>Operations</v>
      </c>
      <c r="I6" s="1">
        <v>7</v>
      </c>
      <c r="J6" s="1" t="str">
        <v>Bachelor</v>
      </c>
      <c r="K6" s="1">
        <v>25</v>
      </c>
      <c r="L6" t="str">
        <v>Female</v>
      </c>
      <c r="M6" t="str">
        <v>Bangalore</v>
      </c>
      <c r="N6" s="5">
        <v>95271</v>
      </c>
      <c r="O6" s="1" t="str">
        <v>Normal Salary</v>
      </c>
      <c r="P6" t="str">
        <v>Senior</v>
      </c>
      <c r="Q6" s="1" t="str">
        <v>4.0</v>
      </c>
      <c r="R6" t="str">
        <f t="shared" ref="R6:R54" si="0">IF(AND(I6&gt;=5,Q6&gt;=4),"Eligible","Not Eligible")</f>
        <v>Eligible</v>
      </c>
      <c r="S6" t="str">
        <f t="shared" ref="S6:S54" si="1">IF(AND(I6&gt;=10,N6&gt;=80000),"Eligible","Not Eligible")</f>
        <v>Not Eligible</v>
      </c>
      <c r="T6" s="2">
        <v>13610.14</v>
      </c>
    </row>
    <row r="7" spans="1:21" ht="18" x14ac:dyDescent="0.3">
      <c r="A7" s="9" t="s">
        <v>97</v>
      </c>
      <c r="E7" s="1" t="str">
        <v>Emp103</v>
      </c>
      <c r="F7" s="1" t="str">
        <v>GANGUMALLA</v>
      </c>
      <c r="G7" s="1" t="str">
        <v>MYTHRI</v>
      </c>
      <c r="H7" s="1" t="str">
        <v>IT</v>
      </c>
      <c r="I7" s="1">
        <v>12</v>
      </c>
      <c r="J7" s="1" t="str">
        <v>High School</v>
      </c>
      <c r="K7" s="1">
        <v>51</v>
      </c>
      <c r="L7" t="str">
        <v>Female</v>
      </c>
      <c r="M7" t="str">
        <v>Hyderabad</v>
      </c>
      <c r="N7" s="5">
        <v>69064</v>
      </c>
      <c r="O7" s="1" t="str">
        <v>Normal Salary</v>
      </c>
      <c r="P7" t="str">
        <v>Senior</v>
      </c>
      <c r="Q7" s="1" t="str">
        <v>3.5</v>
      </c>
      <c r="R7" t="str">
        <f t="shared" si="0"/>
        <v>Eligible</v>
      </c>
      <c r="S7" t="str">
        <f t="shared" si="1"/>
        <v>Not Eligible</v>
      </c>
      <c r="T7" s="2">
        <v>5755.33</v>
      </c>
    </row>
    <row r="8" spans="1:21" x14ac:dyDescent="0.3">
      <c r="E8" s="1" t="str">
        <v>Emp104</v>
      </c>
      <c r="F8" s="1" t="str">
        <v>GANI</v>
      </c>
      <c r="G8" s="1" t="str">
        <v>AMAR</v>
      </c>
      <c r="H8" s="1" t="str">
        <v>Operations</v>
      </c>
      <c r="I8" s="1">
        <v>8</v>
      </c>
      <c r="J8" s="1" t="str">
        <v>PhD</v>
      </c>
      <c r="K8" s="1">
        <v>44</v>
      </c>
      <c r="L8" t="str">
        <v>Male</v>
      </c>
      <c r="M8" t="str">
        <v>Delhi</v>
      </c>
      <c r="N8" s="5">
        <v>95091</v>
      </c>
      <c r="O8" s="1" t="str">
        <v>Normal Salary</v>
      </c>
      <c r="P8" t="str">
        <v>Senior</v>
      </c>
      <c r="Q8" s="1" t="str">
        <v>4.0</v>
      </c>
      <c r="R8" t="str">
        <f t="shared" si="0"/>
        <v>Eligible</v>
      </c>
      <c r="S8" t="str">
        <f t="shared" si="1"/>
        <v>Not Eligible</v>
      </c>
      <c r="T8" s="2">
        <v>11886.38</v>
      </c>
    </row>
    <row r="9" spans="1:21" x14ac:dyDescent="0.3">
      <c r="A9" t="s">
        <v>98</v>
      </c>
      <c r="E9" s="1" t="str">
        <v>Emp105</v>
      </c>
      <c r="F9" s="1" t="str">
        <v>GAMYAM</v>
      </c>
      <c r="G9" s="1" t="str">
        <v>MITHALI RAJ</v>
      </c>
      <c r="H9" s="1" t="str">
        <v>Operations</v>
      </c>
      <c r="I9" s="1">
        <v>15</v>
      </c>
      <c r="J9" s="1" t="str">
        <v>Master</v>
      </c>
      <c r="K9" s="1">
        <v>36</v>
      </c>
      <c r="L9" t="str">
        <v>Female</v>
      </c>
      <c r="M9" t="str">
        <v>Delhi</v>
      </c>
      <c r="N9" s="5">
        <v>132450</v>
      </c>
      <c r="O9" s="1" t="str">
        <v>High Salary</v>
      </c>
      <c r="P9" t="str">
        <v>Senior</v>
      </c>
      <c r="Q9" s="1" t="str">
        <v>4.5</v>
      </c>
      <c r="R9" t="str">
        <f t="shared" si="0"/>
        <v>Eligible</v>
      </c>
      <c r="S9" t="str">
        <f t="shared" si="1"/>
        <v>Eligible</v>
      </c>
      <c r="T9" s="2">
        <v>8830</v>
      </c>
    </row>
    <row r="10" spans="1:21" x14ac:dyDescent="0.3">
      <c r="E10" s="1" t="str">
        <v>Emp106</v>
      </c>
      <c r="F10" s="1" t="str">
        <v>GUNTURU</v>
      </c>
      <c r="G10" s="1" t="str">
        <v>AKBAR</v>
      </c>
      <c r="H10" s="1" t="str">
        <v>Finance</v>
      </c>
      <c r="I10" s="1">
        <v>3</v>
      </c>
      <c r="J10" s="1" t="str">
        <v>High School</v>
      </c>
      <c r="K10" s="1">
        <v>50</v>
      </c>
      <c r="L10" t="str">
        <v>Male</v>
      </c>
      <c r="M10" t="str">
        <v>Mumbai</v>
      </c>
      <c r="N10" s="5">
        <v>65818</v>
      </c>
      <c r="O10" s="1" t="str">
        <v>Normal Salary</v>
      </c>
      <c r="P10" t="str">
        <v>Junior</v>
      </c>
      <c r="Q10" s="1" t="str">
        <v>3.5</v>
      </c>
      <c r="R10" t="str">
        <f t="shared" si="0"/>
        <v>Not Eligible</v>
      </c>
      <c r="S10" t="str">
        <f t="shared" si="1"/>
        <v>Not Eligible</v>
      </c>
      <c r="T10" s="2">
        <v>21939.33</v>
      </c>
    </row>
    <row r="11" spans="1:21" ht="18" x14ac:dyDescent="0.3">
      <c r="A11" s="9" t="s">
        <v>99</v>
      </c>
      <c r="E11" s="1" t="str">
        <v>Emp107</v>
      </c>
      <c r="F11" s="1" t="str">
        <v>GUNTURI</v>
      </c>
      <c r="G11" s="1" t="str">
        <v>ANTHONY</v>
      </c>
      <c r="H11" s="1" t="str">
        <v>IT</v>
      </c>
      <c r="I11" s="1">
        <v>14</v>
      </c>
      <c r="J11" s="1" t="str">
        <v>PhD</v>
      </c>
      <c r="K11" s="1">
        <v>57</v>
      </c>
      <c r="L11" t="str">
        <v>Male</v>
      </c>
      <c r="M11" t="str">
        <v>Mumbai</v>
      </c>
      <c r="N11" s="5">
        <v>70525</v>
      </c>
      <c r="O11" s="1" t="str">
        <v>Normal Salary</v>
      </c>
      <c r="P11" t="str">
        <v>Senior</v>
      </c>
      <c r="Q11" s="1" t="str">
        <v>3.5</v>
      </c>
      <c r="R11" t="str">
        <f t="shared" si="0"/>
        <v>Eligible</v>
      </c>
      <c r="S11" t="str">
        <f t="shared" si="1"/>
        <v>Not Eligible</v>
      </c>
      <c r="T11" s="2">
        <v>5037.5</v>
      </c>
    </row>
    <row r="12" spans="1:21" x14ac:dyDescent="0.3">
      <c r="E12" s="1" t="str">
        <v>Emp108</v>
      </c>
      <c r="F12" s="1" t="str">
        <v>GANGALAKURRU</v>
      </c>
      <c r="G12" s="1" t="str">
        <v>MAMITA</v>
      </c>
      <c r="H12" s="1" t="str">
        <v>IT</v>
      </c>
      <c r="I12" s="1">
        <v>17</v>
      </c>
      <c r="J12" s="1" t="str">
        <v>PhD</v>
      </c>
      <c r="K12" s="1">
        <v>34</v>
      </c>
      <c r="L12" t="str">
        <v>Female</v>
      </c>
      <c r="M12" t="str">
        <v>Bangalore</v>
      </c>
      <c r="N12" s="5">
        <v>44830</v>
      </c>
      <c r="O12" s="1" t="str">
        <v>Normal Salary</v>
      </c>
      <c r="P12" t="str">
        <v>Senior</v>
      </c>
      <c r="Q12" s="1" t="str">
        <v>2.5</v>
      </c>
      <c r="R12" t="str">
        <f t="shared" si="0"/>
        <v>Eligible</v>
      </c>
      <c r="S12" t="str">
        <f t="shared" si="1"/>
        <v>Not Eligible</v>
      </c>
      <c r="T12" s="2">
        <v>2637.06</v>
      </c>
    </row>
    <row r="13" spans="1:21" x14ac:dyDescent="0.3">
      <c r="A13" t="s">
        <v>100</v>
      </c>
      <c r="E13" s="1" t="str">
        <v>Emp109</v>
      </c>
      <c r="F13" s="1" t="str">
        <v>THOTAKURA</v>
      </c>
      <c r="G13" s="1" t="str">
        <v>SAI</v>
      </c>
      <c r="H13" s="1" t="str">
        <v>IT</v>
      </c>
      <c r="I13" s="1">
        <v>4</v>
      </c>
      <c r="J13" s="1" t="str">
        <v>Bachelor</v>
      </c>
      <c r="K13" s="1">
        <v>53</v>
      </c>
      <c r="L13" t="str">
        <v>Male</v>
      </c>
      <c r="M13" t="str">
        <v>Hyderabad</v>
      </c>
      <c r="N13" s="5">
        <v>42429</v>
      </c>
      <c r="O13" s="1" t="str">
        <v>Normal Salary</v>
      </c>
      <c r="P13" t="str">
        <v>Junior</v>
      </c>
      <c r="Q13" s="1" t="str">
        <v>2.5</v>
      </c>
      <c r="R13" t="str">
        <f t="shared" si="0"/>
        <v>Not Eligible</v>
      </c>
      <c r="S13" t="str">
        <f t="shared" si="1"/>
        <v>Not Eligible</v>
      </c>
      <c r="T13" s="2">
        <v>10607.25</v>
      </c>
    </row>
    <row r="14" spans="1:21" x14ac:dyDescent="0.3">
      <c r="A14" s="10"/>
      <c r="E14" s="1" t="str">
        <v>Emp110</v>
      </c>
      <c r="F14" s="1" t="str">
        <v>THOTA</v>
      </c>
      <c r="G14" s="1" t="str">
        <v>MALLIKHARJUN</v>
      </c>
      <c r="H14" s="1" t="str">
        <v>Operations</v>
      </c>
      <c r="I14" s="1">
        <v>18</v>
      </c>
      <c r="J14" s="1" t="str">
        <v>High School</v>
      </c>
      <c r="K14" s="1">
        <v>28</v>
      </c>
      <c r="L14" t="str">
        <v>Male</v>
      </c>
      <c r="M14" t="str">
        <v>Mumbai</v>
      </c>
      <c r="N14" s="5">
        <v>31893</v>
      </c>
      <c r="O14" s="1" t="str">
        <v>Normal Salary</v>
      </c>
      <c r="P14" t="str">
        <v>Senior</v>
      </c>
      <c r="Q14" s="1" t="str">
        <v>2.0</v>
      </c>
      <c r="R14" t="str">
        <f t="shared" si="0"/>
        <v>Eligible</v>
      </c>
      <c r="S14" t="str">
        <f t="shared" si="1"/>
        <v>Not Eligible</v>
      </c>
      <c r="T14" s="2">
        <v>1771.83</v>
      </c>
    </row>
    <row r="15" spans="1:21" x14ac:dyDescent="0.3">
      <c r="A15" s="10" t="s">
        <v>101</v>
      </c>
      <c r="E15" s="1" t="str">
        <v>Emp111</v>
      </c>
      <c r="F15" s="1" t="str">
        <v>GANTI</v>
      </c>
      <c r="G15" s="1" t="str">
        <v>ANVESH</v>
      </c>
      <c r="H15" s="1" t="str">
        <v>Marketing</v>
      </c>
      <c r="I15" s="1">
        <v>8</v>
      </c>
      <c r="J15" s="1" t="str">
        <v>PhD</v>
      </c>
      <c r="K15" s="1">
        <v>43</v>
      </c>
      <c r="L15" t="str">
        <v>Male</v>
      </c>
      <c r="M15" t="str">
        <v>Delhi</v>
      </c>
      <c r="N15" s="5">
        <v>141381</v>
      </c>
      <c r="O15" s="1" t="str">
        <v>High Salary</v>
      </c>
      <c r="P15" t="str">
        <v>Senior</v>
      </c>
      <c r="Q15" s="1" t="str">
        <v>4.5</v>
      </c>
      <c r="R15" t="str">
        <f t="shared" si="0"/>
        <v>Eligible</v>
      </c>
      <c r="S15" t="str">
        <f t="shared" si="1"/>
        <v>Not Eligible</v>
      </c>
      <c r="T15" s="2">
        <v>17672.63</v>
      </c>
    </row>
    <row r="16" spans="1:21" x14ac:dyDescent="0.3">
      <c r="A16" s="10" t="s">
        <v>102</v>
      </c>
      <c r="E16" s="1" t="str">
        <v>Emp112</v>
      </c>
      <c r="F16" s="1" t="str">
        <v>GAGAM</v>
      </c>
      <c r="G16" s="1" t="str">
        <v>NITHYA</v>
      </c>
      <c r="H16" s="1" t="str">
        <v>IT</v>
      </c>
      <c r="I16" s="1">
        <v>4</v>
      </c>
      <c r="J16" s="1" t="str">
        <v>Master</v>
      </c>
      <c r="K16" s="1">
        <v>49</v>
      </c>
      <c r="L16" t="str">
        <v>Female</v>
      </c>
      <c r="M16" t="str">
        <v>Hyderabad</v>
      </c>
      <c r="N16" s="5">
        <v>104909</v>
      </c>
      <c r="O16" s="1" t="str">
        <v>High Salary</v>
      </c>
      <c r="P16" t="str">
        <v>Junior</v>
      </c>
      <c r="Q16" s="1" t="str">
        <v>4.5</v>
      </c>
      <c r="R16" t="str">
        <f t="shared" si="0"/>
        <v>Not Eligible</v>
      </c>
      <c r="S16" t="str">
        <f t="shared" si="1"/>
        <v>Not Eligible</v>
      </c>
      <c r="T16" s="2">
        <v>26227.25</v>
      </c>
    </row>
    <row r="17" spans="1:20" x14ac:dyDescent="0.3">
      <c r="A17" s="10" t="s">
        <v>103</v>
      </c>
      <c r="E17" s="1" t="str">
        <v>Emp113</v>
      </c>
      <c r="F17" s="1" t="str">
        <v>GEDDAM</v>
      </c>
      <c r="G17" s="1" t="str">
        <v>MEGHANA</v>
      </c>
      <c r="H17" s="1" t="str">
        <v>Operations</v>
      </c>
      <c r="I17" s="1">
        <v>2</v>
      </c>
      <c r="J17" s="1" t="str">
        <v>Master</v>
      </c>
      <c r="K17" s="1">
        <v>23</v>
      </c>
      <c r="L17" t="str">
        <v>Female</v>
      </c>
      <c r="M17" t="str">
        <v>Hyderabad</v>
      </c>
      <c r="N17" s="5">
        <v>72333</v>
      </c>
      <c r="O17" s="1" t="str">
        <v>Normal Salary</v>
      </c>
      <c r="P17" t="str">
        <v>Junior</v>
      </c>
      <c r="Q17" s="1" t="str">
        <v>3.5</v>
      </c>
      <c r="R17" t="str">
        <f t="shared" si="0"/>
        <v>Not Eligible</v>
      </c>
      <c r="S17" t="str">
        <f t="shared" si="1"/>
        <v>Not Eligible</v>
      </c>
      <c r="T17" s="2">
        <v>36166.5</v>
      </c>
    </row>
    <row r="18" spans="1:20" x14ac:dyDescent="0.3">
      <c r="A18" s="10" t="s">
        <v>104</v>
      </c>
      <c r="E18" s="1" t="str">
        <v>Emp114</v>
      </c>
      <c r="F18" s="1" t="str">
        <v>KHANDAVILLI</v>
      </c>
      <c r="G18" s="1" t="str">
        <v>SHIRISH</v>
      </c>
      <c r="H18" s="1" t="str">
        <v>Finance</v>
      </c>
      <c r="I18" s="1">
        <v>6</v>
      </c>
      <c r="J18" s="1" t="str">
        <v>Bachelor</v>
      </c>
      <c r="K18" s="1">
        <v>27</v>
      </c>
      <c r="L18" t="str">
        <v>Male</v>
      </c>
      <c r="M18" t="str">
        <v>Delhi</v>
      </c>
      <c r="N18" s="5">
        <v>28436</v>
      </c>
      <c r="O18" s="1" t="str">
        <v>Normal Salary</v>
      </c>
      <c r="P18" t="str">
        <v>Senior</v>
      </c>
      <c r="Q18" s="1" t="str">
        <v>2.0</v>
      </c>
      <c r="R18" t="str">
        <f t="shared" si="0"/>
        <v>Eligible</v>
      </c>
      <c r="S18" t="str">
        <f t="shared" si="1"/>
        <v>Not Eligible</v>
      </c>
      <c r="T18" s="2">
        <v>4739.33</v>
      </c>
    </row>
    <row r="19" spans="1:20" x14ac:dyDescent="0.3">
      <c r="A19" s="10" t="s">
        <v>105</v>
      </c>
      <c r="E19" s="1" t="str">
        <v>Emp115</v>
      </c>
      <c r="F19" s="1" t="str">
        <v>PULLE</v>
      </c>
      <c r="G19" s="1" t="str">
        <v>SMRITI MANDANA</v>
      </c>
      <c r="H19" s="1" t="str">
        <v>Marketing</v>
      </c>
      <c r="I19" s="1">
        <v>10</v>
      </c>
      <c r="J19" s="1" t="str">
        <v>PhD</v>
      </c>
      <c r="K19" s="1">
        <v>49</v>
      </c>
      <c r="L19" t="str">
        <v>Female</v>
      </c>
      <c r="M19" t="str">
        <v>Mumbai</v>
      </c>
      <c r="N19" s="5">
        <v>99290</v>
      </c>
      <c r="O19" s="1" t="str">
        <v>Normal Salary</v>
      </c>
      <c r="P19" t="str">
        <v>Senior</v>
      </c>
      <c r="Q19" s="1" t="str">
        <v>4.0</v>
      </c>
      <c r="R19" t="str">
        <f t="shared" si="0"/>
        <v>Eligible</v>
      </c>
      <c r="S19" t="str">
        <f t="shared" si="1"/>
        <v>Eligible</v>
      </c>
      <c r="T19" s="2">
        <v>9929</v>
      </c>
    </row>
    <row r="20" spans="1:20" x14ac:dyDescent="0.3">
      <c r="E20" s="1" t="str">
        <v>Emp116</v>
      </c>
      <c r="F20" s="1" t="str">
        <v>YARLAGADDA</v>
      </c>
      <c r="G20" s="1" t="str">
        <v>RICHA GHOSH</v>
      </c>
      <c r="H20" s="1" t="str">
        <v>Finance</v>
      </c>
      <c r="I20" s="1">
        <v>4</v>
      </c>
      <c r="J20" s="1" t="str">
        <v>High School</v>
      </c>
      <c r="K20" s="1">
        <v>49</v>
      </c>
      <c r="L20" t="str">
        <v>Female</v>
      </c>
      <c r="M20" t="str">
        <v>Delhi</v>
      </c>
      <c r="N20" s="5">
        <v>101213</v>
      </c>
      <c r="O20" s="1" t="str">
        <v>High Salary</v>
      </c>
      <c r="P20" t="str">
        <v>Junior</v>
      </c>
      <c r="Q20" s="1" t="str">
        <v>4.5</v>
      </c>
      <c r="R20" t="str">
        <f t="shared" si="0"/>
        <v>Not Eligible</v>
      </c>
      <c r="S20" t="str">
        <f t="shared" si="1"/>
        <v>Not Eligible</v>
      </c>
      <c r="T20" s="2">
        <v>25303.25</v>
      </c>
    </row>
    <row r="21" spans="1:20" ht="18" x14ac:dyDescent="0.3">
      <c r="A21" s="9" t="s">
        <v>106</v>
      </c>
      <c r="E21" s="1" t="str">
        <v>Emp117</v>
      </c>
      <c r="F21" s="1" t="str">
        <v>KANCHARLA</v>
      </c>
      <c r="G21" s="1" t="str">
        <v>SRI CHARANI</v>
      </c>
      <c r="H21" s="1" t="str">
        <v>Marketing</v>
      </c>
      <c r="I21" s="1">
        <v>18</v>
      </c>
      <c r="J21" s="1" t="str">
        <v>Master</v>
      </c>
      <c r="K21" s="1">
        <v>41</v>
      </c>
      <c r="L21" t="str">
        <v>Female</v>
      </c>
      <c r="M21" t="str">
        <v>Hyderabad</v>
      </c>
      <c r="N21" s="5">
        <v>30895</v>
      </c>
      <c r="O21" s="1" t="str">
        <v>Normal Salary</v>
      </c>
      <c r="P21" t="str">
        <v>Senior</v>
      </c>
      <c r="Q21" s="1" t="str">
        <v>2.0</v>
      </c>
      <c r="R21" t="str">
        <f t="shared" si="0"/>
        <v>Eligible</v>
      </c>
      <c r="S21" t="str">
        <f t="shared" si="1"/>
        <v>Not Eligible</v>
      </c>
      <c r="T21" s="2">
        <v>1716.39</v>
      </c>
    </row>
    <row r="22" spans="1:20" x14ac:dyDescent="0.3">
      <c r="E22" s="1" t="str">
        <v>Emp118</v>
      </c>
      <c r="F22" s="1" t="str">
        <v>KUNCHE</v>
      </c>
      <c r="G22" s="1" t="str">
        <v>KAUR</v>
      </c>
      <c r="H22" s="1" t="str">
        <v>Operations</v>
      </c>
      <c r="I22" s="1">
        <v>12</v>
      </c>
      <c r="J22" s="1" t="str">
        <v>PhD</v>
      </c>
      <c r="K22" s="1">
        <v>51</v>
      </c>
      <c r="L22" t="str">
        <v>Female</v>
      </c>
      <c r="M22" t="str">
        <v>Chennai</v>
      </c>
      <c r="N22" s="5">
        <v>44738</v>
      </c>
      <c r="O22" s="1" t="str">
        <v>Normal Salary</v>
      </c>
      <c r="P22" t="str">
        <v>Senior</v>
      </c>
      <c r="Q22" s="1" t="str">
        <v>2.5</v>
      </c>
      <c r="R22" t="str">
        <f t="shared" si="0"/>
        <v>Eligible</v>
      </c>
      <c r="S22" t="str">
        <f t="shared" si="1"/>
        <v>Not Eligible</v>
      </c>
      <c r="T22" s="2">
        <v>3728.17</v>
      </c>
    </row>
    <row r="23" spans="1:20" x14ac:dyDescent="0.3">
      <c r="A23" t="s">
        <v>107</v>
      </c>
      <c r="E23" s="1" t="str">
        <v>Emp119</v>
      </c>
      <c r="F23" s="1" t="str">
        <v>KAMBAMPATI</v>
      </c>
      <c r="G23" s="1" t="str">
        <v>SAHIL</v>
      </c>
      <c r="H23" s="1" t="str">
        <v>HR</v>
      </c>
      <c r="I23" s="1">
        <v>2</v>
      </c>
      <c r="J23" s="1" t="str">
        <v>PhD</v>
      </c>
      <c r="K23" s="1">
        <v>32</v>
      </c>
      <c r="L23" t="str">
        <v>Male</v>
      </c>
      <c r="M23" t="str">
        <v>Chennai</v>
      </c>
      <c r="N23" s="5">
        <v>55746</v>
      </c>
      <c r="O23" s="1" t="str">
        <v>Normal Salary</v>
      </c>
      <c r="P23" t="str">
        <v>Junior</v>
      </c>
      <c r="Q23" s="1" t="str">
        <v>3.0</v>
      </c>
      <c r="R23" t="str">
        <f t="shared" si="0"/>
        <v>Not Eligible</v>
      </c>
      <c r="S23" t="str">
        <f t="shared" si="1"/>
        <v>Not Eligible</v>
      </c>
      <c r="T23" s="2">
        <v>27873</v>
      </c>
    </row>
    <row r="24" spans="1:20" x14ac:dyDescent="0.3">
      <c r="A24" s="10"/>
      <c r="E24" s="1" t="str">
        <v>Emp120</v>
      </c>
      <c r="F24" s="1" t="str">
        <v>AVANTHI</v>
      </c>
      <c r="G24" s="1" t="str">
        <v>MURALI</v>
      </c>
      <c r="H24" s="1" t="str">
        <v>Marketing</v>
      </c>
      <c r="I24" s="1">
        <v>10</v>
      </c>
      <c r="J24" s="1" t="str">
        <v>Bachelor</v>
      </c>
      <c r="K24" s="1">
        <v>49</v>
      </c>
      <c r="L24" t="str">
        <v>Male</v>
      </c>
      <c r="M24" t="str">
        <v>Bangalore</v>
      </c>
      <c r="N24" s="5">
        <v>74377</v>
      </c>
      <c r="O24" s="1" t="str">
        <v>Normal Salary</v>
      </c>
      <c r="P24" t="str">
        <v>Senior</v>
      </c>
      <c r="Q24" s="1" t="str">
        <v>3.5</v>
      </c>
      <c r="R24" t="str">
        <f t="shared" si="0"/>
        <v>Eligible</v>
      </c>
      <c r="S24" t="str">
        <f t="shared" si="1"/>
        <v>Not Eligible</v>
      </c>
      <c r="T24" s="2">
        <v>7437.7</v>
      </c>
    </row>
    <row r="25" spans="1:20" x14ac:dyDescent="0.3">
      <c r="A25" s="10" t="s">
        <v>108</v>
      </c>
      <c r="E25" s="1" t="str">
        <v>Emp121</v>
      </c>
      <c r="F25" s="1" t="str">
        <v>ANNAVARAM</v>
      </c>
      <c r="G25" s="1" t="str">
        <v>PRIYANKA KAUR</v>
      </c>
      <c r="H25" s="1" t="str">
        <v>Finance</v>
      </c>
      <c r="I25" s="1">
        <v>4</v>
      </c>
      <c r="J25" s="1" t="str">
        <v>Master</v>
      </c>
      <c r="K25" s="1">
        <v>46</v>
      </c>
      <c r="L25" t="str">
        <v>Female</v>
      </c>
      <c r="M25" t="str">
        <v>Delhi</v>
      </c>
      <c r="N25" s="5">
        <v>73404</v>
      </c>
      <c r="O25" s="1" t="str">
        <v>Normal Salary</v>
      </c>
      <c r="P25" t="str">
        <v>Junior</v>
      </c>
      <c r="Q25" s="1" t="str">
        <v>3.5</v>
      </c>
      <c r="R25" t="str">
        <f t="shared" si="0"/>
        <v>Not Eligible</v>
      </c>
      <c r="S25" t="str">
        <f t="shared" si="1"/>
        <v>Not Eligible</v>
      </c>
      <c r="T25" s="2">
        <v>18351</v>
      </c>
    </row>
    <row r="26" spans="1:20" x14ac:dyDescent="0.3">
      <c r="A26" s="10" t="s">
        <v>109</v>
      </c>
      <c r="E26" s="1" t="str">
        <v>Emp122</v>
      </c>
      <c r="F26" s="1" t="str">
        <v>ANANTHAPALLI</v>
      </c>
      <c r="G26" s="1" t="str">
        <v>NAMRATA</v>
      </c>
      <c r="H26" s="1" t="str">
        <v>Operations</v>
      </c>
      <c r="I26" s="1">
        <v>14</v>
      </c>
      <c r="J26" s="1" t="str">
        <v>Master</v>
      </c>
      <c r="K26" s="1">
        <v>54</v>
      </c>
      <c r="L26" t="str">
        <v>Female</v>
      </c>
      <c r="M26" t="str">
        <v>Delhi</v>
      </c>
      <c r="N26" s="5">
        <v>79045</v>
      </c>
      <c r="O26" s="1" t="str">
        <v>Normal Salary</v>
      </c>
      <c r="P26" t="str">
        <v>Senior</v>
      </c>
      <c r="Q26" s="1" t="str">
        <v>3.5</v>
      </c>
      <c r="R26" t="str">
        <f t="shared" si="0"/>
        <v>Eligible</v>
      </c>
      <c r="S26" t="str">
        <f t="shared" si="1"/>
        <v>Not Eligible</v>
      </c>
      <c r="T26" s="2">
        <v>5646.07</v>
      </c>
    </row>
    <row r="27" spans="1:20" x14ac:dyDescent="0.3">
      <c r="E27" s="1" t="str">
        <v>Emp123</v>
      </c>
      <c r="F27" s="1" t="str">
        <v>YERRAMSETTY</v>
      </c>
      <c r="G27" s="1" t="str">
        <v>KRISHNA</v>
      </c>
      <c r="H27" s="1" t="str">
        <v>Marketing</v>
      </c>
      <c r="I27" s="1">
        <v>16</v>
      </c>
      <c r="J27" s="1" t="str">
        <v>High School</v>
      </c>
      <c r="K27" s="1">
        <v>22</v>
      </c>
      <c r="L27" t="str">
        <v>Male</v>
      </c>
      <c r="M27" t="str">
        <v>Bangalore</v>
      </c>
      <c r="N27" s="5">
        <v>122888</v>
      </c>
      <c r="O27" s="1" t="str">
        <v>High Salary</v>
      </c>
      <c r="P27" t="str">
        <v>Senior</v>
      </c>
      <c r="Q27" s="1" t="str">
        <v>4.5</v>
      </c>
      <c r="R27" t="str">
        <f t="shared" si="0"/>
        <v>Eligible</v>
      </c>
      <c r="S27" t="str">
        <f t="shared" si="1"/>
        <v>Eligible</v>
      </c>
      <c r="T27" s="2">
        <v>7680.5</v>
      </c>
    </row>
    <row r="28" spans="1:20" ht="18" x14ac:dyDescent="0.3">
      <c r="A28" s="9" t="s">
        <v>110</v>
      </c>
      <c r="E28" s="1" t="str">
        <v>Emp124</v>
      </c>
      <c r="F28" s="1" t="str">
        <v>ADAPA</v>
      </c>
      <c r="G28" s="1" t="str">
        <v>VISHNU</v>
      </c>
      <c r="H28" s="1" t="str">
        <v>HR</v>
      </c>
      <c r="I28" s="1">
        <v>15</v>
      </c>
      <c r="J28" s="1" t="str">
        <v>Master</v>
      </c>
      <c r="K28" s="1">
        <v>48</v>
      </c>
      <c r="L28" t="str">
        <v>Male</v>
      </c>
      <c r="M28" t="str">
        <v>Bangalore</v>
      </c>
      <c r="N28" s="5">
        <v>64790</v>
      </c>
      <c r="O28" s="1" t="str">
        <v>Normal Salary</v>
      </c>
      <c r="P28" t="str">
        <v>Senior</v>
      </c>
      <c r="Q28" s="1" t="str">
        <v>3.5</v>
      </c>
      <c r="R28" t="str">
        <f t="shared" si="0"/>
        <v>Eligible</v>
      </c>
      <c r="S28" t="str">
        <f t="shared" si="1"/>
        <v>Not Eligible</v>
      </c>
      <c r="T28" s="2">
        <v>4319.33</v>
      </c>
    </row>
    <row r="29" spans="1:20" x14ac:dyDescent="0.3">
      <c r="E29" s="1" t="str">
        <v>Emp125</v>
      </c>
      <c r="F29" s="1" t="str">
        <v>RAYUDU</v>
      </c>
      <c r="G29" s="1" t="str">
        <v>PRAGNYA</v>
      </c>
      <c r="H29" s="1" t="str">
        <v>HR</v>
      </c>
      <c r="I29" s="1">
        <v>8</v>
      </c>
      <c r="J29" s="1" t="str">
        <v>High School</v>
      </c>
      <c r="K29" s="1">
        <v>34</v>
      </c>
      <c r="L29" t="str">
        <v>Female</v>
      </c>
      <c r="M29" t="str">
        <v>Bangalore</v>
      </c>
      <c r="N29" s="5">
        <v>132455</v>
      </c>
      <c r="O29" s="1" t="str">
        <v>High Salary</v>
      </c>
      <c r="P29" t="str">
        <v>Senior</v>
      </c>
      <c r="Q29" s="1" t="str">
        <v>4.5</v>
      </c>
      <c r="R29" t="str">
        <f t="shared" si="0"/>
        <v>Eligible</v>
      </c>
      <c r="S29" t="str">
        <f t="shared" si="1"/>
        <v>Not Eligible</v>
      </c>
      <c r="T29" s="2">
        <v>16556.88</v>
      </c>
    </row>
    <row r="30" spans="1:20" x14ac:dyDescent="0.3">
      <c r="A30" t="s">
        <v>111</v>
      </c>
      <c r="E30" s="1" t="str">
        <v>Emp126</v>
      </c>
      <c r="F30" s="1" t="str">
        <v>ALLURI</v>
      </c>
      <c r="G30" s="1" t="str">
        <v>VIVEK</v>
      </c>
      <c r="H30" s="1" t="str">
        <v>IT</v>
      </c>
      <c r="I30" s="1">
        <v>14</v>
      </c>
      <c r="J30" s="1" t="str">
        <v>Master</v>
      </c>
      <c r="K30" s="1">
        <v>24</v>
      </c>
      <c r="L30" t="str">
        <v>Male</v>
      </c>
      <c r="M30" t="str">
        <v>Hyderabad</v>
      </c>
      <c r="N30" s="5">
        <v>30600</v>
      </c>
      <c r="O30" s="1" t="str">
        <v>Normal Salary</v>
      </c>
      <c r="P30" t="str">
        <v>Senior</v>
      </c>
      <c r="Q30" s="1" t="str">
        <v>2.0</v>
      </c>
      <c r="R30" t="str">
        <f t="shared" si="0"/>
        <v>Eligible</v>
      </c>
      <c r="S30" t="str">
        <f t="shared" si="1"/>
        <v>Not Eligible</v>
      </c>
      <c r="T30" s="2">
        <v>2185.71</v>
      </c>
    </row>
    <row r="31" spans="1:20" x14ac:dyDescent="0.3">
      <c r="A31" s="10"/>
      <c r="E31" s="1" t="str">
        <v>Emp127</v>
      </c>
      <c r="F31" s="1" t="str">
        <v>PENMASTA</v>
      </c>
      <c r="G31" s="1" t="str">
        <v>LILLY</v>
      </c>
      <c r="H31" s="1" t="str">
        <v>IT</v>
      </c>
      <c r="I31" s="1">
        <v>8</v>
      </c>
      <c r="J31" s="1" t="str">
        <v>Bachelor</v>
      </c>
      <c r="K31" s="1">
        <v>27</v>
      </c>
      <c r="L31" t="str">
        <v>Female</v>
      </c>
      <c r="M31" t="str">
        <v>Delhi</v>
      </c>
      <c r="N31" s="5">
        <v>119660</v>
      </c>
      <c r="O31" s="1" t="str">
        <v>High Salary</v>
      </c>
      <c r="P31" t="str">
        <v>Senior</v>
      </c>
      <c r="Q31" s="1" t="str">
        <v>4.5</v>
      </c>
      <c r="R31" t="str">
        <f t="shared" si="0"/>
        <v>Eligible</v>
      </c>
      <c r="S31" t="str">
        <f t="shared" si="1"/>
        <v>Not Eligible</v>
      </c>
      <c r="T31" s="2">
        <v>14957.5</v>
      </c>
    </row>
    <row r="32" spans="1:20" x14ac:dyDescent="0.3">
      <c r="A32" s="10" t="s">
        <v>112</v>
      </c>
      <c r="E32" s="1" t="str">
        <v>Emp128</v>
      </c>
      <c r="F32" s="1" t="str">
        <v>PATCHAMATLA</v>
      </c>
      <c r="G32" s="1" t="str">
        <v>RASGNYA</v>
      </c>
      <c r="H32" s="1" t="str">
        <v>Finance</v>
      </c>
      <c r="I32" s="1">
        <v>16</v>
      </c>
      <c r="J32" s="1" t="str">
        <v>Master</v>
      </c>
      <c r="K32" s="1">
        <v>29</v>
      </c>
      <c r="L32" t="str">
        <v>Female</v>
      </c>
      <c r="M32" t="str">
        <v>Hyderabad</v>
      </c>
      <c r="N32" s="5">
        <v>118179</v>
      </c>
      <c r="O32" s="1" t="str">
        <v>High Salary</v>
      </c>
      <c r="P32" t="str">
        <v>Senior</v>
      </c>
      <c r="Q32" s="1" t="str">
        <v>4.5</v>
      </c>
      <c r="R32" t="str">
        <f t="shared" si="0"/>
        <v>Eligible</v>
      </c>
      <c r="S32" t="str">
        <f t="shared" si="1"/>
        <v>Eligible</v>
      </c>
      <c r="T32" s="2">
        <v>7386.19</v>
      </c>
    </row>
    <row r="33" spans="1:20" x14ac:dyDescent="0.3">
      <c r="A33" s="10" t="s">
        <v>113</v>
      </c>
      <c r="E33" s="1" t="str">
        <v>Emp129</v>
      </c>
      <c r="F33" s="1" t="str">
        <v>KANDULA</v>
      </c>
      <c r="G33" s="1" t="str">
        <v>DINESH KUMAR</v>
      </c>
      <c r="H33" s="1" t="str">
        <v>Marketing</v>
      </c>
      <c r="I33" s="1">
        <v>13</v>
      </c>
      <c r="J33" s="1" t="str">
        <v>High School</v>
      </c>
      <c r="K33" s="1">
        <v>48</v>
      </c>
      <c r="L33" t="str">
        <v>Male</v>
      </c>
      <c r="M33" t="str">
        <v>Bangalore</v>
      </c>
      <c r="N33" s="5">
        <v>65764</v>
      </c>
      <c r="O33" s="1" t="str">
        <v>Normal Salary</v>
      </c>
      <c r="P33" t="str">
        <v>Senior</v>
      </c>
      <c r="Q33" s="1" t="str">
        <v>3.5</v>
      </c>
      <c r="R33" t="str">
        <f t="shared" si="0"/>
        <v>Eligible</v>
      </c>
      <c r="S33" t="str">
        <f t="shared" si="1"/>
        <v>Not Eligible</v>
      </c>
      <c r="T33" s="2">
        <v>5058.7700000000004</v>
      </c>
    </row>
    <row r="34" spans="1:20" x14ac:dyDescent="0.3">
      <c r="E34" s="1" t="str">
        <v>Emp130</v>
      </c>
      <c r="F34" s="1" t="str">
        <v>KONIDELA</v>
      </c>
      <c r="G34" s="1" t="str">
        <v>VIKAS</v>
      </c>
      <c r="H34" s="1" t="str">
        <v>Marketing</v>
      </c>
      <c r="I34" s="1">
        <v>18</v>
      </c>
      <c r="J34" s="1" t="str">
        <v>High School</v>
      </c>
      <c r="K34" s="1">
        <v>30</v>
      </c>
      <c r="L34" t="str">
        <v>Male</v>
      </c>
      <c r="M34" t="str">
        <v>Delhi</v>
      </c>
      <c r="N34" s="5">
        <v>99543</v>
      </c>
      <c r="O34" s="1" t="str">
        <v>Normal Salary</v>
      </c>
      <c r="P34" t="str">
        <v>Senior</v>
      </c>
      <c r="Q34" s="1" t="str">
        <v>4.0</v>
      </c>
      <c r="R34" t="str">
        <f t="shared" si="0"/>
        <v>Eligible</v>
      </c>
      <c r="S34" t="str">
        <f t="shared" si="1"/>
        <v>Eligible</v>
      </c>
      <c r="T34" s="2">
        <v>5530.17</v>
      </c>
    </row>
    <row r="35" spans="1:20" ht="18" x14ac:dyDescent="0.3">
      <c r="A35" s="9" t="s">
        <v>114</v>
      </c>
      <c r="E35" s="1" t="str">
        <v>Emp131</v>
      </c>
      <c r="F35" s="1" t="str">
        <v>ALLU</v>
      </c>
      <c r="G35" s="1" t="str">
        <v>HIMA BINDU</v>
      </c>
      <c r="H35" s="1" t="str">
        <v>IT</v>
      </c>
      <c r="I35" s="1">
        <v>15</v>
      </c>
      <c r="J35" s="1" t="str">
        <v>Bachelor</v>
      </c>
      <c r="K35" s="1">
        <v>54</v>
      </c>
      <c r="L35" t="str">
        <v>Female</v>
      </c>
      <c r="M35" t="str">
        <v>Hyderabad</v>
      </c>
      <c r="N35" s="5">
        <v>70714</v>
      </c>
      <c r="O35" s="1" t="str">
        <v>Normal Salary</v>
      </c>
      <c r="P35" t="str">
        <v>Senior</v>
      </c>
      <c r="Q35" s="1" t="str">
        <v>3.5</v>
      </c>
      <c r="R35" t="str">
        <f t="shared" si="0"/>
        <v>Eligible</v>
      </c>
      <c r="S35" t="str">
        <f t="shared" si="1"/>
        <v>Not Eligible</v>
      </c>
      <c r="T35" s="2">
        <v>4714.2700000000004</v>
      </c>
    </row>
    <row r="36" spans="1:20" x14ac:dyDescent="0.3">
      <c r="E36" s="1" t="str">
        <v>Emp132</v>
      </c>
      <c r="F36" s="1" t="str">
        <v>KUCHI</v>
      </c>
      <c r="G36" s="1" t="str">
        <v>HEMA SRI</v>
      </c>
      <c r="H36" s="1" t="str">
        <v>Marketing</v>
      </c>
      <c r="I36" s="1">
        <v>13</v>
      </c>
      <c r="J36" s="1" t="str">
        <v>Master</v>
      </c>
      <c r="K36" s="1">
        <v>45</v>
      </c>
      <c r="L36" t="str">
        <v>Female</v>
      </c>
      <c r="M36" t="str">
        <v>Hyderabad</v>
      </c>
      <c r="N36" s="5">
        <v>81835</v>
      </c>
      <c r="O36" s="1" t="str">
        <v>Normal Salary</v>
      </c>
      <c r="P36" t="str">
        <v>Senior</v>
      </c>
      <c r="Q36" s="1" t="str">
        <v>4.0</v>
      </c>
      <c r="R36" t="str">
        <f t="shared" si="0"/>
        <v>Eligible</v>
      </c>
      <c r="S36" t="str">
        <f t="shared" si="1"/>
        <v>Eligible</v>
      </c>
      <c r="T36" s="2">
        <v>6295</v>
      </c>
    </row>
    <row r="37" spans="1:20" x14ac:dyDescent="0.3">
      <c r="E37" s="1" t="str">
        <v>Emp133</v>
      </c>
      <c r="F37" s="1" t="str">
        <v>KUCCHU</v>
      </c>
      <c r="G37" s="1" t="str">
        <v>SIVA KUMAR</v>
      </c>
      <c r="H37" s="1" t="str">
        <v>Marketing</v>
      </c>
      <c r="I37" s="1">
        <v>9</v>
      </c>
      <c r="J37" s="1" t="str">
        <v>Master</v>
      </c>
      <c r="K37" s="1">
        <v>36</v>
      </c>
      <c r="L37" t="str">
        <v>Male</v>
      </c>
      <c r="M37" t="str">
        <v>Bangalore</v>
      </c>
      <c r="N37" s="5">
        <v>127946</v>
      </c>
      <c r="O37" s="1" t="str">
        <v>High Salary</v>
      </c>
      <c r="P37" t="str">
        <v>Senior</v>
      </c>
      <c r="Q37" s="1" t="str">
        <v>4.5</v>
      </c>
      <c r="R37" t="str">
        <f t="shared" si="0"/>
        <v>Eligible</v>
      </c>
      <c r="S37" t="str">
        <f t="shared" si="1"/>
        <v>Not Eligible</v>
      </c>
      <c r="T37" s="2">
        <v>14216.22</v>
      </c>
    </row>
    <row r="38" spans="1:20" x14ac:dyDescent="0.3">
      <c r="E38" s="1" t="str">
        <v>Emp134</v>
      </c>
      <c r="F38" s="1" t="str">
        <v>DAGGUBATI</v>
      </c>
      <c r="G38" s="1" t="str">
        <v>SONALI</v>
      </c>
      <c r="H38" s="1" t="str">
        <v>HR</v>
      </c>
      <c r="I38" s="1">
        <v>15</v>
      </c>
      <c r="J38" s="1" t="str">
        <v>Bachelor</v>
      </c>
      <c r="K38" s="1">
        <v>53</v>
      </c>
      <c r="L38" t="str">
        <v>Female</v>
      </c>
      <c r="M38" t="str">
        <v>Delhi</v>
      </c>
      <c r="N38" s="5">
        <v>134616</v>
      </c>
      <c r="O38" s="1" t="str">
        <v>High Salary</v>
      </c>
      <c r="P38" t="str">
        <v>Senior</v>
      </c>
      <c r="Q38" s="1" t="str">
        <v>4.5</v>
      </c>
      <c r="R38" t="str">
        <f t="shared" si="0"/>
        <v>Eligible</v>
      </c>
      <c r="S38" t="str">
        <f t="shared" si="1"/>
        <v>Eligible</v>
      </c>
      <c r="T38" s="2">
        <v>8974.4</v>
      </c>
    </row>
    <row r="39" spans="1:20" x14ac:dyDescent="0.3">
      <c r="E39" s="1" t="str">
        <v>Emp135</v>
      </c>
      <c r="F39" s="1" t="str">
        <v>KANCHE</v>
      </c>
      <c r="G39" s="1" t="str">
        <v>RAVI SANKAR</v>
      </c>
      <c r="H39" s="1" t="str">
        <v>IT</v>
      </c>
      <c r="I39" s="1">
        <v>13</v>
      </c>
      <c r="J39" s="1" t="str">
        <v>Master</v>
      </c>
      <c r="K39" s="1">
        <v>53</v>
      </c>
      <c r="L39" t="str">
        <v>Male</v>
      </c>
      <c r="M39" t="str">
        <v>Bangalore</v>
      </c>
      <c r="N39" s="5">
        <v>130983</v>
      </c>
      <c r="O39" s="1" t="str">
        <v>High Salary</v>
      </c>
      <c r="P39" t="str">
        <v>Senior</v>
      </c>
      <c r="Q39" s="1" t="str">
        <v>4.5</v>
      </c>
      <c r="R39" t="str">
        <f t="shared" si="0"/>
        <v>Eligible</v>
      </c>
      <c r="S39" t="str">
        <f t="shared" si="1"/>
        <v>Eligible</v>
      </c>
      <c r="T39" s="2">
        <v>10075.620000000001</v>
      </c>
    </row>
    <row r="40" spans="1:20" x14ac:dyDescent="0.3">
      <c r="E40" s="1" t="str">
        <v>Emp136</v>
      </c>
      <c r="F40" s="1" t="str">
        <v>GHATTAMANENI</v>
      </c>
      <c r="G40" s="1" t="str">
        <v>SAMSKRUTHI</v>
      </c>
      <c r="H40" s="1" t="str">
        <v>Operations</v>
      </c>
      <c r="I40" s="1">
        <v>1</v>
      </c>
      <c r="J40" s="1" t="str">
        <v>Master</v>
      </c>
      <c r="K40" s="1">
        <v>45</v>
      </c>
      <c r="L40" t="str">
        <v>Female</v>
      </c>
      <c r="M40" t="str">
        <v>Delhi</v>
      </c>
      <c r="N40" s="5">
        <v>98744</v>
      </c>
      <c r="O40" s="1" t="str">
        <v>Normal Salary</v>
      </c>
      <c r="P40" t="str">
        <v>Junior</v>
      </c>
      <c r="Q40" s="1" t="str">
        <v>4.0</v>
      </c>
      <c r="R40" t="str">
        <f t="shared" si="0"/>
        <v>Not Eligible</v>
      </c>
      <c r="S40" t="str">
        <f t="shared" si="1"/>
        <v>Not Eligible</v>
      </c>
      <c r="T40" s="2">
        <v>98744</v>
      </c>
    </row>
    <row r="41" spans="1:20" x14ac:dyDescent="0.3">
      <c r="E41" s="1" t="str">
        <v>Emp137</v>
      </c>
      <c r="F41" s="1" t="str">
        <v>NANDAMURI</v>
      </c>
      <c r="G41" s="1" t="str">
        <v>SRI RAM</v>
      </c>
      <c r="H41" s="1" t="str">
        <v>IT</v>
      </c>
      <c r="I41" s="1">
        <v>7</v>
      </c>
      <c r="J41" s="1" t="str">
        <v>High School</v>
      </c>
      <c r="K41" s="1">
        <v>33</v>
      </c>
      <c r="L41" t="str">
        <v>Male</v>
      </c>
      <c r="M41" t="str">
        <v>Chennai</v>
      </c>
      <c r="N41" s="5">
        <v>81491</v>
      </c>
      <c r="O41" s="1" t="str">
        <v>Normal Salary</v>
      </c>
      <c r="P41" t="str">
        <v>Senior</v>
      </c>
      <c r="Q41" s="1" t="str">
        <v>4.0</v>
      </c>
      <c r="R41" t="str">
        <f t="shared" si="0"/>
        <v>Eligible</v>
      </c>
      <c r="S41" t="str">
        <f t="shared" si="1"/>
        <v>Not Eligible</v>
      </c>
      <c r="T41" s="2">
        <v>11641.57</v>
      </c>
    </row>
    <row r="42" spans="1:20" x14ac:dyDescent="0.3">
      <c r="E42" s="1" t="str">
        <v>Emp138</v>
      </c>
      <c r="F42" s="1" t="str">
        <v>AKKINENI</v>
      </c>
      <c r="G42" s="1" t="str">
        <v>MADHAV</v>
      </c>
      <c r="H42" s="1" t="str">
        <v>Operations</v>
      </c>
      <c r="I42" s="1">
        <v>9</v>
      </c>
      <c r="J42" s="1" t="str">
        <v>Master</v>
      </c>
      <c r="K42" s="1">
        <v>23</v>
      </c>
      <c r="L42" t="str">
        <v>Male</v>
      </c>
      <c r="M42" t="str">
        <v>Mumbai</v>
      </c>
      <c r="N42" s="5">
        <v>149123</v>
      </c>
      <c r="O42" s="1" t="str">
        <v>High Salary</v>
      </c>
      <c r="P42" t="str">
        <v>Senior</v>
      </c>
      <c r="Q42" s="1" t="str">
        <v>4.5</v>
      </c>
      <c r="R42" t="str">
        <f t="shared" si="0"/>
        <v>Eligible</v>
      </c>
      <c r="S42" t="str">
        <f t="shared" si="1"/>
        <v>Not Eligible</v>
      </c>
      <c r="T42" s="2">
        <v>16569.22</v>
      </c>
    </row>
    <row r="43" spans="1:20" x14ac:dyDescent="0.3">
      <c r="E43" s="1" t="str">
        <v>Emp139</v>
      </c>
      <c r="F43" s="1" t="str">
        <v>TATAVARTHY</v>
      </c>
      <c r="G43" s="1" t="str">
        <v>MANIKANTA</v>
      </c>
      <c r="H43" s="1" t="str">
        <v>HR</v>
      </c>
      <c r="I43" s="1">
        <v>1</v>
      </c>
      <c r="J43" s="1" t="str">
        <v>Master</v>
      </c>
      <c r="K43" s="1">
        <v>24</v>
      </c>
      <c r="L43" t="str">
        <v>Male</v>
      </c>
      <c r="M43" t="str">
        <v>Mumbai</v>
      </c>
      <c r="N43" s="5">
        <v>43589</v>
      </c>
      <c r="O43" s="1" t="str">
        <v>Normal Salary</v>
      </c>
      <c r="P43" t="str">
        <v>Junior</v>
      </c>
      <c r="Q43" s="1" t="str">
        <v>2.5</v>
      </c>
      <c r="R43" t="str">
        <f t="shared" si="0"/>
        <v>Not Eligible</v>
      </c>
      <c r="S43" t="str">
        <f t="shared" si="1"/>
        <v>Not Eligible</v>
      </c>
      <c r="T43" s="2">
        <v>43589</v>
      </c>
    </row>
    <row r="44" spans="1:20" x14ac:dyDescent="0.3">
      <c r="E44" s="1" t="str">
        <v>Emp140</v>
      </c>
      <c r="F44" s="1" t="str">
        <v>TANGELLA</v>
      </c>
      <c r="G44" s="1" t="str">
        <v>DEEPA</v>
      </c>
      <c r="H44" s="1" t="str">
        <v>Finance</v>
      </c>
      <c r="I44" s="1">
        <v>12</v>
      </c>
      <c r="J44" s="1" t="str">
        <v>Bachelor</v>
      </c>
      <c r="K44" s="1">
        <v>38</v>
      </c>
      <c r="L44" t="str">
        <v>Female</v>
      </c>
      <c r="M44" t="str">
        <v>Mumbai</v>
      </c>
      <c r="N44" s="5">
        <v>68484</v>
      </c>
      <c r="O44" s="1" t="str">
        <v>Normal Salary</v>
      </c>
      <c r="P44" t="str">
        <v>Senior</v>
      </c>
      <c r="Q44" s="1" t="str">
        <v>3.5</v>
      </c>
      <c r="R44" t="str">
        <f t="shared" si="0"/>
        <v>Eligible</v>
      </c>
      <c r="S44" t="str">
        <f t="shared" si="1"/>
        <v>Not Eligible</v>
      </c>
      <c r="T44" s="2">
        <v>5707</v>
      </c>
    </row>
    <row r="45" spans="1:20" x14ac:dyDescent="0.3">
      <c r="E45" s="1" t="str">
        <v>Emp141</v>
      </c>
      <c r="F45" s="1" t="str">
        <v>NADENDLA</v>
      </c>
      <c r="G45" s="1" t="str">
        <v>SAMHITHA</v>
      </c>
      <c r="H45" s="1" t="str">
        <v>Marketing</v>
      </c>
      <c r="I45" s="1">
        <v>8</v>
      </c>
      <c r="J45" s="1" t="str">
        <v>Bachelor</v>
      </c>
      <c r="K45" s="1">
        <v>23</v>
      </c>
      <c r="L45" t="str">
        <v>Female</v>
      </c>
      <c r="M45" t="str">
        <v>Bangalore</v>
      </c>
      <c r="N45" s="5">
        <v>107989</v>
      </c>
      <c r="O45" s="1" t="str">
        <v>High Salary</v>
      </c>
      <c r="P45" t="str">
        <v>Senior</v>
      </c>
      <c r="Q45" s="1" t="str">
        <v>4.5</v>
      </c>
      <c r="R45" t="str">
        <f t="shared" si="0"/>
        <v>Eligible</v>
      </c>
      <c r="S45" t="str">
        <f t="shared" si="1"/>
        <v>Not Eligible</v>
      </c>
      <c r="T45" s="2">
        <v>13498.63</v>
      </c>
    </row>
    <row r="46" spans="1:20" x14ac:dyDescent="0.3">
      <c r="E46" s="1" t="str">
        <v>Emp142</v>
      </c>
      <c r="F46" s="1" t="str">
        <v>PANTHAM</v>
      </c>
      <c r="G46" s="1" t="str">
        <v>MANI KUMAR</v>
      </c>
      <c r="H46" s="1" t="str">
        <v>HR</v>
      </c>
      <c r="I46" s="1">
        <v>11</v>
      </c>
      <c r="J46" s="1" t="str">
        <v>PhD</v>
      </c>
      <c r="K46" s="1">
        <v>23</v>
      </c>
      <c r="L46" t="str">
        <v>Male</v>
      </c>
      <c r="M46" t="str">
        <v>Chennai</v>
      </c>
      <c r="N46" s="5">
        <v>61212</v>
      </c>
      <c r="O46" s="1" t="str">
        <v>Normal Salary</v>
      </c>
      <c r="P46" t="str">
        <v>Senior</v>
      </c>
      <c r="Q46" s="1" t="str">
        <v>3.5</v>
      </c>
      <c r="R46" t="str">
        <f t="shared" si="0"/>
        <v>Eligible</v>
      </c>
      <c r="S46" t="str">
        <f t="shared" si="1"/>
        <v>Not Eligible</v>
      </c>
      <c r="T46" s="2">
        <v>5564.73</v>
      </c>
    </row>
    <row r="47" spans="1:20" x14ac:dyDescent="0.3">
      <c r="E47" s="1" t="str">
        <v>Emp143</v>
      </c>
      <c r="F47" s="1" t="str">
        <v>VANAMADI</v>
      </c>
      <c r="G47" s="1" t="str">
        <v>SARANYA</v>
      </c>
      <c r="H47" s="1" t="str">
        <v>Marketing</v>
      </c>
      <c r="I47" s="1">
        <v>19</v>
      </c>
      <c r="J47" s="1" t="str">
        <v>High School</v>
      </c>
      <c r="K47" s="1">
        <v>49</v>
      </c>
      <c r="L47" t="str">
        <v>Female</v>
      </c>
      <c r="M47" t="str">
        <v>Delhi</v>
      </c>
      <c r="N47" s="5">
        <v>68525</v>
      </c>
      <c r="O47" s="1" t="str">
        <v>Normal Salary</v>
      </c>
      <c r="P47" t="str">
        <v>Senior</v>
      </c>
      <c r="Q47" s="1" t="str">
        <v>3.5</v>
      </c>
      <c r="R47" t="str">
        <f t="shared" si="0"/>
        <v>Eligible</v>
      </c>
      <c r="S47" t="str">
        <f t="shared" si="1"/>
        <v>Not Eligible</v>
      </c>
      <c r="T47" s="2">
        <v>3606.58</v>
      </c>
    </row>
    <row r="48" spans="1:20" x14ac:dyDescent="0.3">
      <c r="E48" s="1" t="str">
        <v>Emp144</v>
      </c>
      <c r="F48" s="1" t="str">
        <v>BOMMIDI</v>
      </c>
      <c r="G48" s="1" t="str">
        <v>BHAVANI SHANKAR</v>
      </c>
      <c r="H48" s="1" t="str">
        <v>Finance</v>
      </c>
      <c r="I48" s="1">
        <v>17</v>
      </c>
      <c r="J48" s="1" t="str">
        <v>Master</v>
      </c>
      <c r="K48" s="1">
        <v>44</v>
      </c>
      <c r="L48" t="str">
        <v>Male</v>
      </c>
      <c r="M48" t="str">
        <v>Hyderabad</v>
      </c>
      <c r="N48" s="5">
        <v>72202</v>
      </c>
      <c r="O48" s="1" t="str">
        <v>Normal Salary</v>
      </c>
      <c r="P48" t="str">
        <v>Senior</v>
      </c>
      <c r="Q48" s="1" t="str">
        <v>3.5</v>
      </c>
      <c r="R48" t="str">
        <f t="shared" si="0"/>
        <v>Eligible</v>
      </c>
      <c r="S48" t="str">
        <f t="shared" si="1"/>
        <v>Not Eligible</v>
      </c>
      <c r="T48" s="2">
        <v>4247.18</v>
      </c>
    </row>
    <row r="49" spans="5:20" x14ac:dyDescent="0.3">
      <c r="E49" s="1" t="str">
        <v>Emp145</v>
      </c>
      <c r="F49" s="1" t="str">
        <v>PULAPARTHY</v>
      </c>
      <c r="G49" s="1" t="str">
        <v>SAI KUMAR</v>
      </c>
      <c r="H49" s="1" t="str">
        <v>Finance</v>
      </c>
      <c r="I49" s="1">
        <v>8</v>
      </c>
      <c r="J49" s="1" t="str">
        <v>Master</v>
      </c>
      <c r="K49" s="1">
        <v>53</v>
      </c>
      <c r="L49" t="str">
        <v>Male</v>
      </c>
      <c r="M49" t="str">
        <v>Delhi</v>
      </c>
      <c r="N49" s="5">
        <v>57635</v>
      </c>
      <c r="O49" s="1" t="str">
        <v>Normal Salary</v>
      </c>
      <c r="P49" t="str">
        <v>Senior</v>
      </c>
      <c r="Q49" s="1" t="str">
        <v>3.0</v>
      </c>
      <c r="R49" t="str">
        <f t="shared" si="0"/>
        <v>Eligible</v>
      </c>
      <c r="S49" t="str">
        <f t="shared" si="1"/>
        <v>Not Eligible</v>
      </c>
      <c r="T49" s="2">
        <v>7204.38</v>
      </c>
    </row>
    <row r="50" spans="5:20" x14ac:dyDescent="0.3">
      <c r="E50" s="1" t="str">
        <v>Emp146</v>
      </c>
      <c r="F50" s="1" t="str">
        <v>GANDHAM</v>
      </c>
      <c r="G50" s="1" t="str">
        <v>PRASANNA</v>
      </c>
      <c r="H50" s="1" t="str">
        <v>HR</v>
      </c>
      <c r="I50" s="1">
        <v>3</v>
      </c>
      <c r="J50" s="1" t="str">
        <v>PhD</v>
      </c>
      <c r="K50" s="1">
        <v>54</v>
      </c>
      <c r="L50" t="str">
        <v>Female</v>
      </c>
      <c r="M50" t="str">
        <v>Hyderabad</v>
      </c>
      <c r="N50" s="5">
        <v>88208</v>
      </c>
      <c r="O50" s="1" t="str">
        <v>Normal Salary</v>
      </c>
      <c r="P50" t="str">
        <v>Junior</v>
      </c>
      <c r="Q50" s="1" t="str">
        <v>4.0</v>
      </c>
      <c r="R50" t="str">
        <f t="shared" si="0"/>
        <v>Not Eligible</v>
      </c>
      <c r="S50" t="str">
        <f t="shared" si="1"/>
        <v>Not Eligible</v>
      </c>
      <c r="T50" s="2">
        <v>29402.67</v>
      </c>
    </row>
    <row r="51" spans="5:20" x14ac:dyDescent="0.3">
      <c r="E51" s="1" t="str">
        <v>Emp147</v>
      </c>
      <c r="F51" s="1" t="str">
        <v>GRANDHI</v>
      </c>
      <c r="G51" s="1" t="str">
        <v>SRAVYA</v>
      </c>
      <c r="H51" s="1" t="str">
        <v>Finance</v>
      </c>
      <c r="I51" s="1">
        <v>3</v>
      </c>
      <c r="J51" s="1" t="str">
        <v>Master</v>
      </c>
      <c r="K51" s="1">
        <v>22</v>
      </c>
      <c r="L51" t="str">
        <v>Female</v>
      </c>
      <c r="M51" t="str">
        <v>Delhi</v>
      </c>
      <c r="N51" s="5">
        <v>58828</v>
      </c>
      <c r="O51" s="1" t="str">
        <v>Normal Salary</v>
      </c>
      <c r="P51" t="str">
        <v>Junior</v>
      </c>
      <c r="Q51" s="1" t="str">
        <v>3.0</v>
      </c>
      <c r="R51" t="str">
        <f t="shared" si="0"/>
        <v>Not Eligible</v>
      </c>
      <c r="S51" t="str">
        <f t="shared" si="1"/>
        <v>Not Eligible</v>
      </c>
      <c r="T51" s="2">
        <v>19609.330000000002</v>
      </c>
    </row>
    <row r="52" spans="5:20" x14ac:dyDescent="0.3">
      <c r="E52" s="1" t="str">
        <v>Emp148</v>
      </c>
      <c r="F52" s="1" t="str">
        <v>KURRU</v>
      </c>
      <c r="G52" s="1" t="str">
        <v>SAI RAJ</v>
      </c>
      <c r="H52" s="1" t="str">
        <v>Operations</v>
      </c>
      <c r="I52" s="1">
        <v>1</v>
      </c>
      <c r="J52" s="1" t="str">
        <v>High School</v>
      </c>
      <c r="K52" s="1">
        <v>40</v>
      </c>
      <c r="L52" t="str">
        <v>Male</v>
      </c>
      <c r="M52" t="str">
        <v>Chennai</v>
      </c>
      <c r="N52" s="5">
        <v>43711</v>
      </c>
      <c r="O52" s="1" t="str">
        <v>Normal Salary</v>
      </c>
      <c r="P52" t="str">
        <v>Junior</v>
      </c>
      <c r="Q52" s="1" t="str">
        <v>2.5</v>
      </c>
      <c r="R52" t="str">
        <f t="shared" si="0"/>
        <v>Not Eligible</v>
      </c>
      <c r="S52" t="str">
        <f t="shared" si="1"/>
        <v>Not Eligible</v>
      </c>
      <c r="T52" s="2">
        <v>43711</v>
      </c>
    </row>
    <row r="53" spans="5:20" x14ac:dyDescent="0.3">
      <c r="E53" s="1" t="str">
        <v>Emp149</v>
      </c>
      <c r="F53" s="1" t="str">
        <v>KOMMIREDDY</v>
      </c>
      <c r="G53" s="1" t="str">
        <v>NAVYA</v>
      </c>
      <c r="H53" s="1" t="str">
        <v>Finance</v>
      </c>
      <c r="I53" s="1">
        <v>5</v>
      </c>
      <c r="J53" s="1" t="str">
        <v>PhD</v>
      </c>
      <c r="K53" s="1">
        <v>23</v>
      </c>
      <c r="L53" t="str">
        <v>Female</v>
      </c>
      <c r="M53" t="str">
        <v>Hyderabad</v>
      </c>
      <c r="N53" s="5">
        <v>28420</v>
      </c>
      <c r="O53" s="1" t="str">
        <v>Normal Salary</v>
      </c>
      <c r="P53" t="str">
        <v>Senior</v>
      </c>
      <c r="Q53" s="1" t="str">
        <v>2.0</v>
      </c>
      <c r="R53" t="str">
        <f t="shared" si="0"/>
        <v>Eligible</v>
      </c>
      <c r="S53" t="str">
        <f t="shared" si="1"/>
        <v>Not Eligible</v>
      </c>
      <c r="T53" s="2">
        <v>5684</v>
      </c>
    </row>
    <row r="54" spans="5:20" x14ac:dyDescent="0.3">
      <c r="E54" s="1" t="str">
        <v>Emp150</v>
      </c>
      <c r="F54" s="1" t="str">
        <v>MUSHINI</v>
      </c>
      <c r="G54" s="1" t="str">
        <v>SATYA</v>
      </c>
      <c r="H54" s="1" t="str">
        <v>Marketing</v>
      </c>
      <c r="I54" s="1">
        <v>10</v>
      </c>
      <c r="J54" s="1" t="str">
        <v>High School</v>
      </c>
      <c r="K54" s="1">
        <v>47</v>
      </c>
      <c r="L54" t="str">
        <v>Female</v>
      </c>
      <c r="M54" t="str">
        <v>Bangalore</v>
      </c>
      <c r="N54" s="5">
        <v>121752</v>
      </c>
      <c r="O54" s="1" t="str">
        <v>High Salary</v>
      </c>
      <c r="P54" t="str">
        <v>Senior</v>
      </c>
      <c r="Q54" s="1" t="str">
        <v>4.5</v>
      </c>
      <c r="R54" t="str">
        <f t="shared" si="0"/>
        <v>Eligible</v>
      </c>
      <c r="S54" t="str">
        <f t="shared" si="1"/>
        <v>Eligible</v>
      </c>
      <c r="T54" s="2">
        <v>12175.2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AF14-82B0-47F1-BD1B-A947845C8F70}">
  <dimension ref="A1:R53"/>
  <sheetViews>
    <sheetView tabSelected="1" topLeftCell="M1" workbookViewId="0">
      <selection activeCell="U11" sqref="U11"/>
    </sheetView>
  </sheetViews>
  <sheetFormatPr defaultRowHeight="14.4" x14ac:dyDescent="0.3"/>
  <cols>
    <col min="1" max="1" width="30.21875" bestFit="1" customWidth="1"/>
    <col min="2" max="2" width="18.44140625" style="1" bestFit="1" customWidth="1"/>
    <col min="3" max="3" width="12.109375" style="1" bestFit="1" customWidth="1"/>
    <col min="4" max="4" width="19.88671875" bestFit="1" customWidth="1"/>
    <col min="5" max="5" width="19.88671875" style="1" bestFit="1" customWidth="1"/>
    <col min="7" max="7" width="19.88671875" style="1" bestFit="1" customWidth="1"/>
    <col min="8" max="8" width="18.88671875" style="1" bestFit="1" customWidth="1"/>
    <col min="10" max="10" width="16.44140625" bestFit="1" customWidth="1"/>
    <col min="11" max="11" width="8.88671875" style="1"/>
    <col min="12" max="12" width="16.88671875" bestFit="1" customWidth="1"/>
    <col min="13" max="13" width="18.21875" bestFit="1" customWidth="1"/>
    <col min="14" max="14" width="17" style="1" bestFit="1" customWidth="1"/>
    <col min="16" max="16" width="25.109375" style="1" bestFit="1" customWidth="1"/>
    <col min="18" max="18" width="32.44140625" style="19" bestFit="1" customWidth="1"/>
  </cols>
  <sheetData>
    <row r="1" spans="1:18" ht="21" x14ac:dyDescent="0.4">
      <c r="A1" s="14" t="s">
        <v>172</v>
      </c>
      <c r="D1" s="17" t="s">
        <v>173</v>
      </c>
      <c r="G1" s="17" t="s">
        <v>179</v>
      </c>
      <c r="J1" s="14" t="s">
        <v>182</v>
      </c>
      <c r="M1" s="14" t="s">
        <v>184</v>
      </c>
      <c r="P1" s="17" t="s">
        <v>185</v>
      </c>
      <c r="R1" s="17" t="s">
        <v>240</v>
      </c>
    </row>
    <row r="2" spans="1:18" x14ac:dyDescent="0.3">
      <c r="D2" s="1"/>
    </row>
    <row r="3" spans="1:18" x14ac:dyDescent="0.3">
      <c r="A3" s="18" t="s">
        <v>180</v>
      </c>
      <c r="B3" s="16" t="s">
        <v>174</v>
      </c>
      <c r="C3" s="18"/>
      <c r="D3" s="18" t="s">
        <v>174</v>
      </c>
      <c r="E3" s="18" t="s">
        <v>178</v>
      </c>
      <c r="F3" s="16"/>
      <c r="G3" s="18" t="s">
        <v>181</v>
      </c>
      <c r="H3" s="18" t="s">
        <v>0</v>
      </c>
      <c r="I3" s="16"/>
      <c r="J3" s="18" t="s">
        <v>183</v>
      </c>
      <c r="K3" s="18" t="s">
        <v>6</v>
      </c>
      <c r="L3" s="16"/>
      <c r="M3" s="18" t="s">
        <v>1</v>
      </c>
      <c r="N3" s="18" t="s">
        <v>0</v>
      </c>
      <c r="P3" s="18" t="s">
        <v>186</v>
      </c>
      <c r="R3" s="18" t="s">
        <v>239</v>
      </c>
    </row>
    <row r="4" spans="1:18" x14ac:dyDescent="0.3">
      <c r="A4" s="1" t="str" cm="1">
        <f t="array" ref="A4:A53">LEFT(Employee[Gender])</f>
        <v>F</v>
      </c>
      <c r="B4" s="1" t="str" cm="1">
        <f t="array" ref="B4:B53">LEFT(Employee[EmpID],3)</f>
        <v>Emp</v>
      </c>
      <c r="D4" s="1" t="str" cm="1">
        <f t="array" ref="D4:D53">RIGHT(Employee[EmpID],3)</f>
        <v>101</v>
      </c>
      <c r="E4" s="1" t="str" cm="1">
        <f t="array" ref="E4:E53">RIGHT(Employee[Contact NO],4)</f>
        <v>2836</v>
      </c>
      <c r="G4" s="1" t="str" cm="1">
        <f t="array" ref="G4:G53">MID(Employee[Contact NO],9,12)</f>
        <v>252836</v>
      </c>
      <c r="H4" s="1" t="str" cm="1">
        <f t="array" ref="H4:H53">MID(Employee[Last_Name],1,3)</f>
        <v>MAH</v>
      </c>
      <c r="J4" s="1" cm="1">
        <f t="array" ref="J4:J53">LEN(Employee[Contact NO])</f>
        <v>14</v>
      </c>
      <c r="K4" s="1" cm="1">
        <f t="array" ref="K4:K53">LEN(Employee[City])</f>
        <v>5</v>
      </c>
      <c r="M4" s="1" t="str" cm="1">
        <f t="array" ref="M4:M53">TRIM(Employee[Department])</f>
        <v>Marketing</v>
      </c>
      <c r="N4" s="1" t="str" cm="1">
        <f t="array" ref="N4:N53">TRIM(Employee[Last_Name])</f>
        <v>MAHALAKSHMI</v>
      </c>
      <c r="P4" s="1" t="str">
        <f>_xlfn.CONCAT(employee_salary_dataset!B2,"  ",employee_salary_dataset!C2)</f>
        <v>KATAMASETTI  MAHALAKSHMI</v>
      </c>
      <c r="R4" s="19" t="str">
        <f>LOWER(_xlfn.CONCAT(employee_salary_dataset!B2,".",employee_salary_dataset!C2,"@gmail.com"))</f>
        <v>katamasetti.mahalakshmi@gmail.com</v>
      </c>
    </row>
    <row r="5" spans="1:18" x14ac:dyDescent="0.3">
      <c r="A5" s="1" t="str">
        <v>F</v>
      </c>
      <c r="B5" s="1" t="str">
        <v>Emp</v>
      </c>
      <c r="D5" s="1" t="str">
        <v>102</v>
      </c>
      <c r="E5" s="1" t="str">
        <v>2837</v>
      </c>
      <c r="G5" s="1" t="str">
        <v>252837</v>
      </c>
      <c r="H5" s="1" t="str">
        <v>SAI</v>
      </c>
      <c r="J5" s="1">
        <v>14</v>
      </c>
      <c r="K5" s="1">
        <v>9</v>
      </c>
      <c r="M5" s="1" t="str">
        <v>Operations</v>
      </c>
      <c r="N5" s="1" t="str">
        <v>SAI BINDU</v>
      </c>
      <c r="P5" s="1" t="str">
        <f>_xlfn.CONCAT(employee_salary_dataset!B3,"  ",employee_salary_dataset!C3)</f>
        <v>GANTA  SAI BINDU</v>
      </c>
      <c r="R5" s="19" t="str">
        <f>LOWER(_xlfn.CONCAT(employee_salary_dataset!B3,".",employee_salary_dataset!C3,"@gmail.com"))</f>
        <v>ganta.sai bindu@gmail.com</v>
      </c>
    </row>
    <row r="6" spans="1:18" x14ac:dyDescent="0.3">
      <c r="A6" s="1" t="str">
        <v>F</v>
      </c>
      <c r="B6" s="1" t="str">
        <v>Emp</v>
      </c>
      <c r="D6" s="1" t="str">
        <v>103</v>
      </c>
      <c r="E6" s="1" t="str">
        <v>2837</v>
      </c>
      <c r="G6" s="1" t="str">
        <v>252837</v>
      </c>
      <c r="H6" s="1" t="str">
        <v>MYT</v>
      </c>
      <c r="J6" s="1">
        <v>14</v>
      </c>
      <c r="K6" s="1">
        <v>9</v>
      </c>
      <c r="M6" s="1" t="str">
        <v>IT</v>
      </c>
      <c r="N6" s="1" t="str">
        <v>MYTHRI</v>
      </c>
      <c r="P6" s="1" t="str">
        <f>_xlfn.CONCAT(employee_salary_dataset!B4,"  ",employee_salary_dataset!C4)</f>
        <v>GANGUMALLA  MYTHRI</v>
      </c>
      <c r="R6" s="19" t="str">
        <f>LOWER(_xlfn.CONCAT(employee_salary_dataset!B4,".",employee_salary_dataset!C4,"@gmail.com"))</f>
        <v>gangumalla.mythri@gmail.com</v>
      </c>
    </row>
    <row r="7" spans="1:18" x14ac:dyDescent="0.3">
      <c r="A7" s="1" t="str">
        <v>M</v>
      </c>
      <c r="B7" s="1" t="str">
        <v>Emp</v>
      </c>
      <c r="D7" s="1" t="str">
        <v>104</v>
      </c>
      <c r="E7" s="1" t="str">
        <v>2837</v>
      </c>
      <c r="G7" s="1" t="str">
        <v>252837</v>
      </c>
      <c r="H7" s="1" t="str">
        <v>AMA</v>
      </c>
      <c r="J7" s="1">
        <v>14</v>
      </c>
      <c r="K7" s="1">
        <v>5</v>
      </c>
      <c r="M7" s="1" t="str">
        <v>Operations</v>
      </c>
      <c r="N7" s="1" t="str">
        <v>AMAR</v>
      </c>
      <c r="P7" s="1" t="str">
        <f>_xlfn.CONCAT(employee_salary_dataset!B5,"  ",employee_salary_dataset!C5)</f>
        <v>GANI  AMAR</v>
      </c>
      <c r="R7" s="19" t="str">
        <f>LOWER(_xlfn.CONCAT(employee_salary_dataset!B5,".",employee_salary_dataset!C5,"@gmail.com"))</f>
        <v>gani.amar@gmail.com</v>
      </c>
    </row>
    <row r="8" spans="1:18" x14ac:dyDescent="0.3">
      <c r="A8" s="1" t="str">
        <v>F</v>
      </c>
      <c r="B8" s="1" t="str">
        <v>Emp</v>
      </c>
      <c r="D8" s="1" t="str">
        <v>105</v>
      </c>
      <c r="E8" s="1" t="str">
        <v>2837</v>
      </c>
      <c r="G8" s="1" t="str">
        <v>252837</v>
      </c>
      <c r="H8" s="1" t="str">
        <v>MIT</v>
      </c>
      <c r="J8" s="1">
        <v>14</v>
      </c>
      <c r="K8" s="1">
        <v>5</v>
      </c>
      <c r="M8" s="1" t="str">
        <v>Operations</v>
      </c>
      <c r="N8" s="1" t="str">
        <v>MITHALI RAJ</v>
      </c>
      <c r="P8" s="1" t="str">
        <f>_xlfn.CONCAT(employee_salary_dataset!B6,"  ",employee_salary_dataset!C6)</f>
        <v>GAMYAM  MITHALI RAJ</v>
      </c>
      <c r="R8" s="19" t="str">
        <f>LOWER(_xlfn.CONCAT(employee_salary_dataset!B6,".",employee_salary_dataset!C6,"@gmail.com"))</f>
        <v>gamyam.mithali raj@gmail.com</v>
      </c>
    </row>
    <row r="9" spans="1:18" x14ac:dyDescent="0.3">
      <c r="A9" s="1" t="str">
        <v>M</v>
      </c>
      <c r="B9" s="1" t="str">
        <v>Emp</v>
      </c>
      <c r="D9" s="1" t="str">
        <v>106</v>
      </c>
      <c r="E9" s="1" t="str">
        <v>2837</v>
      </c>
      <c r="G9" s="1" t="str">
        <v>252837</v>
      </c>
      <c r="H9" s="1" t="str">
        <v>AKB</v>
      </c>
      <c r="J9" s="1">
        <v>14</v>
      </c>
      <c r="K9" s="1">
        <v>6</v>
      </c>
      <c r="M9" s="1" t="str">
        <v>Finance</v>
      </c>
      <c r="N9" s="1" t="str">
        <v>AKBAR</v>
      </c>
      <c r="P9" s="1" t="str">
        <f>_xlfn.CONCAT(employee_salary_dataset!B7,"  ",employee_salary_dataset!C7)</f>
        <v>GUNTURU  AKBAR</v>
      </c>
      <c r="R9" s="19" t="str">
        <f>LOWER(_xlfn.CONCAT(employee_salary_dataset!B7,".",employee_salary_dataset!C7,"@gmail.com"))</f>
        <v>gunturu.akbar@gmail.com</v>
      </c>
    </row>
    <row r="10" spans="1:18" x14ac:dyDescent="0.3">
      <c r="A10" s="1" t="str">
        <v>M</v>
      </c>
      <c r="B10" s="1" t="str">
        <v>Emp</v>
      </c>
      <c r="D10" s="1" t="str">
        <v>107</v>
      </c>
      <c r="E10" s="1" t="str">
        <v>2837</v>
      </c>
      <c r="G10" s="1" t="str">
        <v>252837</v>
      </c>
      <c r="H10" s="1" t="str">
        <v>ANT</v>
      </c>
      <c r="J10" s="1">
        <v>14</v>
      </c>
      <c r="K10" s="1">
        <v>6</v>
      </c>
      <c r="M10" s="1" t="str">
        <v>IT</v>
      </c>
      <c r="N10" s="1" t="str">
        <v>ANTHONY</v>
      </c>
      <c r="P10" s="1" t="str">
        <f>_xlfn.CONCAT(employee_salary_dataset!B8,"  ",employee_salary_dataset!C8)</f>
        <v>GUNTURI  ANTHONY</v>
      </c>
      <c r="R10" s="19" t="str">
        <f>LOWER(_xlfn.CONCAT(employee_salary_dataset!B8,".",employee_salary_dataset!C8,"@gmail.com"))</f>
        <v>gunturi.anthony@gmail.com</v>
      </c>
    </row>
    <row r="11" spans="1:18" x14ac:dyDescent="0.3">
      <c r="A11" s="1" t="str">
        <v>F</v>
      </c>
      <c r="B11" s="1" t="str">
        <v>Emp</v>
      </c>
      <c r="D11" s="1" t="str">
        <v>108</v>
      </c>
      <c r="E11" s="1" t="str">
        <v>2837</v>
      </c>
      <c r="G11" s="1" t="str">
        <v>252837</v>
      </c>
      <c r="H11" s="1" t="str">
        <v>MAM</v>
      </c>
      <c r="J11" s="1">
        <v>14</v>
      </c>
      <c r="K11" s="1">
        <v>9</v>
      </c>
      <c r="M11" s="1" t="str">
        <v>IT</v>
      </c>
      <c r="N11" s="1" t="str">
        <v>MAMITA</v>
      </c>
      <c r="P11" s="1" t="str">
        <f>_xlfn.CONCAT(employee_salary_dataset!B9,"  ",employee_salary_dataset!C9)</f>
        <v>GANGALAKURRU  MAMITA</v>
      </c>
      <c r="R11" s="19" t="str">
        <f>LOWER(_xlfn.CONCAT(employee_salary_dataset!B9,".",employee_salary_dataset!C9,"@gmail.com"))</f>
        <v>gangalakurru.mamita@gmail.com</v>
      </c>
    </row>
    <row r="12" spans="1:18" x14ac:dyDescent="0.3">
      <c r="A12" s="1" t="str">
        <v>M</v>
      </c>
      <c r="B12" s="1" t="str">
        <v>Emp</v>
      </c>
      <c r="D12" s="1" t="str">
        <v>109</v>
      </c>
      <c r="E12" s="1" t="str">
        <v>2837</v>
      </c>
      <c r="G12" s="1" t="str">
        <v>252837</v>
      </c>
      <c r="H12" s="1" t="str">
        <v>SAI</v>
      </c>
      <c r="J12" s="1">
        <v>14</v>
      </c>
      <c r="K12" s="1">
        <v>9</v>
      </c>
      <c r="M12" s="1" t="str">
        <v>IT</v>
      </c>
      <c r="N12" s="1" t="str">
        <v>SAI</v>
      </c>
      <c r="P12" s="1" t="str">
        <f>_xlfn.CONCAT(employee_salary_dataset!B10,"  ",employee_salary_dataset!C10)</f>
        <v>THOTAKURA  SAI</v>
      </c>
      <c r="R12" s="19" t="str">
        <f>LOWER(_xlfn.CONCAT(employee_salary_dataset!B10,".",employee_salary_dataset!C10,"@gmail.com"))</f>
        <v>thotakura.sai@gmail.com</v>
      </c>
    </row>
    <row r="13" spans="1:18" x14ac:dyDescent="0.3">
      <c r="A13" s="1" t="str">
        <v>M</v>
      </c>
      <c r="B13" s="1" t="str">
        <v>Emp</v>
      </c>
      <c r="D13" s="1" t="str">
        <v>110</v>
      </c>
      <c r="E13" s="1" t="str">
        <v>2837</v>
      </c>
      <c r="G13" s="1" t="str">
        <v>252837</v>
      </c>
      <c r="H13" s="1" t="str">
        <v>MAL</v>
      </c>
      <c r="J13" s="1">
        <v>14</v>
      </c>
      <c r="K13" s="1">
        <v>6</v>
      </c>
      <c r="M13" s="1" t="str">
        <v>Operations</v>
      </c>
      <c r="N13" s="1" t="str">
        <v>MALLIKHARJUN</v>
      </c>
      <c r="P13" s="1" t="str">
        <f>_xlfn.CONCAT(employee_salary_dataset!B11,"  ",employee_salary_dataset!C11)</f>
        <v>THOTA  MALLIKHARJUN</v>
      </c>
      <c r="R13" s="19" t="str">
        <f>LOWER(_xlfn.CONCAT(employee_salary_dataset!B11,".",employee_salary_dataset!C11,"@gmail.com"))</f>
        <v>thota.mallikharjun@gmail.com</v>
      </c>
    </row>
    <row r="14" spans="1:18" x14ac:dyDescent="0.3">
      <c r="A14" s="1" t="str">
        <v>M</v>
      </c>
      <c r="B14" s="1" t="str">
        <v>Emp</v>
      </c>
      <c r="D14" s="1" t="str">
        <v>111</v>
      </c>
      <c r="E14" s="1" t="str">
        <v>2837</v>
      </c>
      <c r="G14" s="1" t="str">
        <v>252837</v>
      </c>
      <c r="H14" s="1" t="str">
        <v>ANV</v>
      </c>
      <c r="J14" s="1">
        <v>14</v>
      </c>
      <c r="K14" s="1">
        <v>5</v>
      </c>
      <c r="M14" s="1" t="str">
        <v>Marketing</v>
      </c>
      <c r="N14" s="1" t="str">
        <v>ANVESH</v>
      </c>
      <c r="P14" s="1" t="str">
        <f>_xlfn.CONCAT(employee_salary_dataset!B12,"  ",employee_salary_dataset!C12)</f>
        <v>GANTI  ANVESH</v>
      </c>
      <c r="R14" s="19" t="str">
        <f>LOWER(_xlfn.CONCAT(employee_salary_dataset!B12,".",employee_salary_dataset!C12,"@gmail.com"))</f>
        <v>ganti.anvesh@gmail.com</v>
      </c>
    </row>
    <row r="15" spans="1:18" x14ac:dyDescent="0.3">
      <c r="A15" s="1" t="str">
        <v>F</v>
      </c>
      <c r="B15" s="1" t="str">
        <v>Emp</v>
      </c>
      <c r="D15" s="1" t="str">
        <v>112</v>
      </c>
      <c r="E15" s="1" t="str">
        <v>2837</v>
      </c>
      <c r="G15" s="1" t="str">
        <v>252837</v>
      </c>
      <c r="H15" s="1" t="str">
        <v>NIT</v>
      </c>
      <c r="J15" s="1">
        <v>14</v>
      </c>
      <c r="K15" s="1">
        <v>9</v>
      </c>
      <c r="M15" s="1" t="str">
        <v>IT</v>
      </c>
      <c r="N15" s="1" t="str">
        <v>NITHYA</v>
      </c>
      <c r="P15" s="1" t="str">
        <f>_xlfn.CONCAT(employee_salary_dataset!B13,"  ",employee_salary_dataset!C13)</f>
        <v>GAGAM  NITHYA</v>
      </c>
      <c r="R15" s="19" t="str">
        <f>LOWER(_xlfn.CONCAT(employee_salary_dataset!B13,".",employee_salary_dataset!C13,"@gmail.com"))</f>
        <v>gagam.nithya@gmail.com</v>
      </c>
    </row>
    <row r="16" spans="1:18" x14ac:dyDescent="0.3">
      <c r="A16" s="1" t="str">
        <v>F</v>
      </c>
      <c r="B16" s="1" t="str">
        <v>Emp</v>
      </c>
      <c r="D16" s="1" t="str">
        <v>113</v>
      </c>
      <c r="E16" s="1" t="str">
        <v>2837</v>
      </c>
      <c r="G16" s="1" t="str">
        <v>252837</v>
      </c>
      <c r="H16" s="1" t="str">
        <v>MEG</v>
      </c>
      <c r="J16" s="1">
        <v>14</v>
      </c>
      <c r="K16" s="1">
        <v>9</v>
      </c>
      <c r="M16" s="1" t="str">
        <v>Operations</v>
      </c>
      <c r="N16" s="1" t="str">
        <v>MEGHANA</v>
      </c>
      <c r="P16" s="1" t="str">
        <f>_xlfn.CONCAT(employee_salary_dataset!B14,"  ",employee_salary_dataset!C14)</f>
        <v>GEDDAM  MEGHANA</v>
      </c>
      <c r="R16" s="19" t="str">
        <f>LOWER(_xlfn.CONCAT(employee_salary_dataset!B14,".",employee_salary_dataset!C14,"@gmail.com"))</f>
        <v>geddam.meghana@gmail.com</v>
      </c>
    </row>
    <row r="17" spans="1:18" x14ac:dyDescent="0.3">
      <c r="A17" s="1" t="str">
        <v>M</v>
      </c>
      <c r="B17" s="1" t="str">
        <v>Emp</v>
      </c>
      <c r="D17" s="1" t="str">
        <v>114</v>
      </c>
      <c r="E17" s="1" t="str">
        <v>2837</v>
      </c>
      <c r="G17" s="1" t="str">
        <v>252837</v>
      </c>
      <c r="H17" s="1" t="str">
        <v>SHI</v>
      </c>
      <c r="J17" s="1">
        <v>14</v>
      </c>
      <c r="K17" s="1">
        <v>5</v>
      </c>
      <c r="M17" s="1" t="str">
        <v>Finance</v>
      </c>
      <c r="N17" s="1" t="str">
        <v>SHIRISH</v>
      </c>
      <c r="P17" s="1" t="str">
        <f>_xlfn.CONCAT(employee_salary_dataset!B15,"  ",employee_salary_dataset!C15)</f>
        <v>KHANDAVILLI  SHIRISH</v>
      </c>
      <c r="R17" s="19" t="str">
        <f>LOWER(_xlfn.CONCAT(employee_salary_dataset!B15,".",employee_salary_dataset!C15,"@gmail.com"))</f>
        <v>khandavilli.shirish@gmail.com</v>
      </c>
    </row>
    <row r="18" spans="1:18" x14ac:dyDescent="0.3">
      <c r="A18" s="1" t="str">
        <v>F</v>
      </c>
      <c r="B18" s="1" t="str">
        <v>Emp</v>
      </c>
      <c r="D18" s="1" t="str">
        <v>115</v>
      </c>
      <c r="E18" s="1" t="str">
        <v>2837</v>
      </c>
      <c r="G18" s="1" t="str">
        <v>252837</v>
      </c>
      <c r="H18" s="1" t="str">
        <v>SMR</v>
      </c>
      <c r="J18" s="1">
        <v>14</v>
      </c>
      <c r="K18" s="1">
        <v>6</v>
      </c>
      <c r="M18" s="1" t="str">
        <v>Marketing</v>
      </c>
      <c r="N18" s="1" t="str">
        <v>SMRITI MANDANA</v>
      </c>
      <c r="P18" s="1" t="str">
        <f>_xlfn.CONCAT(employee_salary_dataset!B16,"  ",employee_salary_dataset!C16)</f>
        <v>PULLE  SMRITI MANDANA</v>
      </c>
      <c r="R18" s="19" t="str">
        <f>LOWER(_xlfn.CONCAT(employee_salary_dataset!B16,".",employee_salary_dataset!C16,"@gmail.com"))</f>
        <v>pulle.smriti mandana@gmail.com</v>
      </c>
    </row>
    <row r="19" spans="1:18" x14ac:dyDescent="0.3">
      <c r="A19" s="1" t="str">
        <v>F</v>
      </c>
      <c r="B19" s="1" t="str">
        <v>Emp</v>
      </c>
      <c r="D19" s="1" t="str">
        <v>116</v>
      </c>
      <c r="E19" s="1" t="str">
        <v>2837</v>
      </c>
      <c r="G19" s="1" t="str">
        <v>252837</v>
      </c>
      <c r="H19" s="1" t="str">
        <v>RIC</v>
      </c>
      <c r="J19" s="1">
        <v>14</v>
      </c>
      <c r="K19" s="1">
        <v>5</v>
      </c>
      <c r="M19" s="1" t="str">
        <v>Finance</v>
      </c>
      <c r="N19" s="1" t="str">
        <v>RICHA GHOSH</v>
      </c>
      <c r="P19" s="1" t="str">
        <f>_xlfn.CONCAT(employee_salary_dataset!B17,"  ",employee_salary_dataset!C17)</f>
        <v>YARLAGADDA  RICHA GHOSH</v>
      </c>
      <c r="R19" s="19" t="str">
        <f>LOWER(_xlfn.CONCAT(employee_salary_dataset!B17,".",employee_salary_dataset!C17,"@gmail.com"))</f>
        <v>yarlagadda.richa ghosh@gmail.com</v>
      </c>
    </row>
    <row r="20" spans="1:18" x14ac:dyDescent="0.3">
      <c r="A20" s="1" t="str">
        <v>F</v>
      </c>
      <c r="B20" s="1" t="str">
        <v>Emp</v>
      </c>
      <c r="D20" s="1" t="str">
        <v>117</v>
      </c>
      <c r="E20" s="1" t="str">
        <v>2837</v>
      </c>
      <c r="G20" s="1" t="str">
        <v>252837</v>
      </c>
      <c r="H20" s="1" t="str">
        <v>SRI</v>
      </c>
      <c r="J20" s="1">
        <v>14</v>
      </c>
      <c r="K20" s="1">
        <v>9</v>
      </c>
      <c r="M20" s="1" t="str">
        <v>Marketing</v>
      </c>
      <c r="N20" s="1" t="str">
        <v>SRI CHARANI</v>
      </c>
      <c r="P20" s="1" t="str">
        <f>_xlfn.CONCAT(employee_salary_dataset!B18,"  ",employee_salary_dataset!C18)</f>
        <v>KANCHARLA  SRI CHARANI</v>
      </c>
      <c r="R20" s="19" t="str">
        <f>LOWER(_xlfn.CONCAT(employee_salary_dataset!B18,".",employee_salary_dataset!C18,"@gmail.com"))</f>
        <v>kancharla.sri charani@gmail.com</v>
      </c>
    </row>
    <row r="21" spans="1:18" x14ac:dyDescent="0.3">
      <c r="A21" s="1" t="str">
        <v>F</v>
      </c>
      <c r="B21" s="1" t="str">
        <v>Emp</v>
      </c>
      <c r="D21" s="1" t="str">
        <v>118</v>
      </c>
      <c r="E21" s="1" t="str">
        <v>2837</v>
      </c>
      <c r="G21" s="1" t="str">
        <v>252837</v>
      </c>
      <c r="H21" s="1" t="str">
        <v>KAU</v>
      </c>
      <c r="J21" s="1">
        <v>14</v>
      </c>
      <c r="K21" s="1">
        <v>7</v>
      </c>
      <c r="M21" s="1" t="str">
        <v>Operations</v>
      </c>
      <c r="N21" s="1" t="str">
        <v>KAUR</v>
      </c>
      <c r="P21" s="1" t="str">
        <f>_xlfn.CONCAT(employee_salary_dataset!B19,"  ",employee_salary_dataset!C19)</f>
        <v>KUNCHE  KAUR</v>
      </c>
      <c r="R21" s="19" t="str">
        <f>LOWER(_xlfn.CONCAT(employee_salary_dataset!B19,".",employee_salary_dataset!C19,"@gmail.com"))</f>
        <v>kunche.kaur@gmail.com</v>
      </c>
    </row>
    <row r="22" spans="1:18" x14ac:dyDescent="0.3">
      <c r="A22" s="1" t="str">
        <v>M</v>
      </c>
      <c r="B22" s="1" t="str">
        <v>Emp</v>
      </c>
      <c r="D22" s="1" t="str">
        <v>119</v>
      </c>
      <c r="E22" s="1" t="str">
        <v>2837</v>
      </c>
      <c r="G22" s="1" t="str">
        <v>252837</v>
      </c>
      <c r="H22" s="1" t="str">
        <v>SAH</v>
      </c>
      <c r="J22" s="1">
        <v>14</v>
      </c>
      <c r="K22" s="1">
        <v>7</v>
      </c>
      <c r="M22" s="1" t="str">
        <v>HR</v>
      </c>
      <c r="N22" s="1" t="str">
        <v>SAHIL</v>
      </c>
      <c r="P22" s="1" t="str">
        <f>_xlfn.CONCAT(employee_salary_dataset!B20,"  ",employee_salary_dataset!C20)</f>
        <v>KAMBAMPATI  SAHIL</v>
      </c>
      <c r="R22" s="19" t="str">
        <f>LOWER(_xlfn.CONCAT(employee_salary_dataset!B20,".",employee_salary_dataset!C20,"@gmail.com"))</f>
        <v>kambampati.sahil@gmail.com</v>
      </c>
    </row>
    <row r="23" spans="1:18" x14ac:dyDescent="0.3">
      <c r="A23" s="1" t="str">
        <v>M</v>
      </c>
      <c r="B23" s="1" t="str">
        <v>Emp</v>
      </c>
      <c r="D23" s="1" t="str">
        <v>120</v>
      </c>
      <c r="E23" s="1" t="str">
        <v>2837</v>
      </c>
      <c r="G23" s="1" t="str">
        <v>252837</v>
      </c>
      <c r="H23" s="1" t="str">
        <v>MUR</v>
      </c>
      <c r="J23" s="1">
        <v>14</v>
      </c>
      <c r="K23" s="1">
        <v>9</v>
      </c>
      <c r="M23" s="1" t="str">
        <v>Marketing</v>
      </c>
      <c r="N23" s="1" t="str">
        <v>MURALI</v>
      </c>
      <c r="P23" s="1" t="str">
        <f>_xlfn.CONCAT(employee_salary_dataset!B21,"  ",employee_salary_dataset!C21)</f>
        <v>AVANTHI  MURALI</v>
      </c>
      <c r="R23" s="19" t="str">
        <f>LOWER(_xlfn.CONCAT(employee_salary_dataset!B21,".",employee_salary_dataset!C21,"@gmail.com"))</f>
        <v>avanthi.murali@gmail.com</v>
      </c>
    </row>
    <row r="24" spans="1:18" x14ac:dyDescent="0.3">
      <c r="A24" s="1" t="str">
        <v>F</v>
      </c>
      <c r="B24" s="1" t="str">
        <v>Emp</v>
      </c>
      <c r="D24" s="1" t="str">
        <v>121</v>
      </c>
      <c r="E24" s="1" t="str">
        <v>2837</v>
      </c>
      <c r="G24" s="1" t="str">
        <v>252837</v>
      </c>
      <c r="H24" s="1" t="str">
        <v>PRI</v>
      </c>
      <c r="J24" s="1">
        <v>14</v>
      </c>
      <c r="K24" s="1">
        <v>5</v>
      </c>
      <c r="M24" s="1" t="str">
        <v>Finance</v>
      </c>
      <c r="N24" s="1" t="str">
        <v>PRIYANKA KAUR</v>
      </c>
      <c r="P24" s="1" t="str">
        <f>_xlfn.CONCAT(employee_salary_dataset!B22,"  ",employee_salary_dataset!C22)</f>
        <v>ANNAVARAM  PRIYANKA KAUR</v>
      </c>
      <c r="R24" s="19" t="str">
        <f>LOWER(_xlfn.CONCAT(employee_salary_dataset!B22,".",employee_salary_dataset!C22,"@gmail.com"))</f>
        <v>annavaram.priyanka kaur@gmail.com</v>
      </c>
    </row>
    <row r="25" spans="1:18" x14ac:dyDescent="0.3">
      <c r="A25" s="1" t="str">
        <v>F</v>
      </c>
      <c r="B25" s="1" t="str">
        <v>Emp</v>
      </c>
      <c r="D25" s="1" t="str">
        <v>122</v>
      </c>
      <c r="E25" s="1" t="str">
        <v>2837</v>
      </c>
      <c r="G25" s="1" t="str">
        <v>252837</v>
      </c>
      <c r="H25" s="1" t="str">
        <v>NAM</v>
      </c>
      <c r="J25" s="1">
        <v>14</v>
      </c>
      <c r="K25" s="1">
        <v>5</v>
      </c>
      <c r="M25" s="1" t="str">
        <v>Operations</v>
      </c>
      <c r="N25" s="1" t="str">
        <v>NAMRATA</v>
      </c>
      <c r="P25" s="1" t="str">
        <f>_xlfn.CONCAT(employee_salary_dataset!B23,"  ",employee_salary_dataset!C23)</f>
        <v>ANANTHAPALLI  NAMRATA</v>
      </c>
      <c r="R25" s="19" t="str">
        <f>LOWER(_xlfn.CONCAT(employee_salary_dataset!B23,".",employee_salary_dataset!C23,"@gmail.com"))</f>
        <v>ananthapalli.namrata@gmail.com</v>
      </c>
    </row>
    <row r="26" spans="1:18" x14ac:dyDescent="0.3">
      <c r="A26" s="1" t="str">
        <v>M</v>
      </c>
      <c r="B26" s="1" t="str">
        <v>Emp</v>
      </c>
      <c r="D26" s="1" t="str">
        <v>123</v>
      </c>
      <c r="E26" s="1" t="str">
        <v>2837</v>
      </c>
      <c r="G26" s="1" t="str">
        <v>252837</v>
      </c>
      <c r="H26" s="1" t="str">
        <v>KRI</v>
      </c>
      <c r="J26" s="1">
        <v>14</v>
      </c>
      <c r="K26" s="1">
        <v>9</v>
      </c>
      <c r="M26" s="1" t="str">
        <v>Marketing</v>
      </c>
      <c r="N26" s="1" t="str">
        <v>KRISHNA</v>
      </c>
      <c r="P26" s="1" t="str">
        <f>_xlfn.CONCAT(employee_salary_dataset!B24,"  ",employee_salary_dataset!C24)</f>
        <v>YERRAMSETTY  KRISHNA</v>
      </c>
      <c r="R26" s="19" t="str">
        <f>LOWER(_xlfn.CONCAT(employee_salary_dataset!B24,".",employee_salary_dataset!C24,"@gmail.com"))</f>
        <v>yerramsetty.krishna@gmail.com</v>
      </c>
    </row>
    <row r="27" spans="1:18" x14ac:dyDescent="0.3">
      <c r="A27" s="1" t="str">
        <v>M</v>
      </c>
      <c r="B27" s="1" t="str">
        <v>Emp</v>
      </c>
      <c r="D27" s="1" t="str">
        <v>124</v>
      </c>
      <c r="E27" s="1" t="str">
        <v>2837</v>
      </c>
      <c r="G27" s="1" t="str">
        <v>252837</v>
      </c>
      <c r="H27" s="1" t="str">
        <v>VIS</v>
      </c>
      <c r="J27" s="1">
        <v>14</v>
      </c>
      <c r="K27" s="1">
        <v>9</v>
      </c>
      <c r="M27" s="1" t="str">
        <v>HR</v>
      </c>
      <c r="N27" s="1" t="str">
        <v>VISHNU</v>
      </c>
      <c r="P27" s="1" t="str">
        <f>_xlfn.CONCAT(employee_salary_dataset!B25,"  ",employee_salary_dataset!C25)</f>
        <v>ADAPA  VISHNU</v>
      </c>
      <c r="R27" s="19" t="str">
        <f>LOWER(_xlfn.CONCAT(employee_salary_dataset!B25,".",employee_salary_dataset!C25,"@gmail.com"))</f>
        <v>adapa.vishnu@gmail.com</v>
      </c>
    </row>
    <row r="28" spans="1:18" x14ac:dyDescent="0.3">
      <c r="A28" s="1" t="str">
        <v>F</v>
      </c>
      <c r="B28" s="1" t="str">
        <v>Emp</v>
      </c>
      <c r="D28" s="1" t="str">
        <v>125</v>
      </c>
      <c r="E28" s="1" t="str">
        <v>2837</v>
      </c>
      <c r="G28" s="1" t="str">
        <v>252837</v>
      </c>
      <c r="H28" s="1" t="str">
        <v>PRA</v>
      </c>
      <c r="J28" s="1">
        <v>14</v>
      </c>
      <c r="K28" s="1">
        <v>9</v>
      </c>
      <c r="M28" s="1" t="str">
        <v>HR</v>
      </c>
      <c r="N28" s="1" t="str">
        <v>PRAGNYA</v>
      </c>
      <c r="P28" s="1" t="str">
        <f>_xlfn.CONCAT(employee_salary_dataset!B26,"  ",employee_salary_dataset!C26)</f>
        <v>RAYUDU  PRAGNYA</v>
      </c>
      <c r="R28" s="19" t="str">
        <f>LOWER(_xlfn.CONCAT(employee_salary_dataset!B26,".",employee_salary_dataset!C26,"@gmail.com"))</f>
        <v>rayudu.pragnya@gmail.com</v>
      </c>
    </row>
    <row r="29" spans="1:18" x14ac:dyDescent="0.3">
      <c r="A29" s="1" t="str">
        <v>M</v>
      </c>
      <c r="B29" s="1" t="str">
        <v>Emp</v>
      </c>
      <c r="D29" s="1" t="str">
        <v>126</v>
      </c>
      <c r="E29" s="1" t="str">
        <v>2837</v>
      </c>
      <c r="G29" s="1" t="str">
        <v>252837</v>
      </c>
      <c r="H29" s="1" t="str">
        <v>VIV</v>
      </c>
      <c r="J29" s="1">
        <v>14</v>
      </c>
      <c r="K29" s="1">
        <v>9</v>
      </c>
      <c r="M29" s="1" t="str">
        <v>IT</v>
      </c>
      <c r="N29" s="1" t="str">
        <v>VIVEK</v>
      </c>
      <c r="P29" s="1" t="str">
        <f>_xlfn.CONCAT(employee_salary_dataset!B27,"  ",employee_salary_dataset!C27)</f>
        <v>ALLURI  VIVEK</v>
      </c>
      <c r="R29" s="19" t="str">
        <f>LOWER(_xlfn.CONCAT(employee_salary_dataset!B27,".",employee_salary_dataset!C27,"@gmail.com"))</f>
        <v>alluri.vivek@gmail.com</v>
      </c>
    </row>
    <row r="30" spans="1:18" x14ac:dyDescent="0.3">
      <c r="A30" s="1" t="str">
        <v>F</v>
      </c>
      <c r="B30" s="1" t="str">
        <v>Emp</v>
      </c>
      <c r="D30" s="1" t="str">
        <v>127</v>
      </c>
      <c r="E30" s="1" t="str">
        <v>2837</v>
      </c>
      <c r="G30" s="1" t="str">
        <v>252837</v>
      </c>
      <c r="H30" s="1" t="str">
        <v>LIL</v>
      </c>
      <c r="J30" s="1">
        <v>14</v>
      </c>
      <c r="K30" s="1">
        <v>5</v>
      </c>
      <c r="M30" s="1" t="str">
        <v>IT</v>
      </c>
      <c r="N30" s="1" t="str">
        <v>LILLY</v>
      </c>
      <c r="P30" s="1" t="str">
        <f>_xlfn.CONCAT(employee_salary_dataset!B28,"  ",employee_salary_dataset!C28)</f>
        <v>PENMASTA  LILLY</v>
      </c>
      <c r="R30" s="19" t="str">
        <f>LOWER(_xlfn.CONCAT(employee_salary_dataset!B28,".",employee_salary_dataset!C28,"@gmail.com"))</f>
        <v>penmasta.lilly@gmail.com</v>
      </c>
    </row>
    <row r="31" spans="1:18" x14ac:dyDescent="0.3">
      <c r="A31" s="1" t="str">
        <v>F</v>
      </c>
      <c r="B31" s="1" t="str">
        <v>Emp</v>
      </c>
      <c r="D31" s="1" t="str">
        <v>128</v>
      </c>
      <c r="E31" s="1" t="str">
        <v>2837</v>
      </c>
      <c r="G31" s="1" t="str">
        <v>252837</v>
      </c>
      <c r="H31" s="1" t="str">
        <v>RAS</v>
      </c>
      <c r="J31" s="1">
        <v>14</v>
      </c>
      <c r="K31" s="1">
        <v>9</v>
      </c>
      <c r="M31" s="1" t="str">
        <v>Finance</v>
      </c>
      <c r="N31" s="1" t="str">
        <v>RASGNYA</v>
      </c>
      <c r="P31" s="1" t="str">
        <f>_xlfn.CONCAT(employee_salary_dataset!B29,"  ",employee_salary_dataset!C29)</f>
        <v>PATCHAMATLA  RASGNYA</v>
      </c>
      <c r="R31" s="19" t="str">
        <f>LOWER(_xlfn.CONCAT(employee_salary_dataset!B29,".",employee_salary_dataset!C29,"@gmail.com"))</f>
        <v>patchamatla.rasgnya@gmail.com</v>
      </c>
    </row>
    <row r="32" spans="1:18" x14ac:dyDescent="0.3">
      <c r="A32" s="1" t="str">
        <v>M</v>
      </c>
      <c r="B32" s="1" t="str">
        <v>Emp</v>
      </c>
      <c r="D32" s="1" t="str">
        <v>129</v>
      </c>
      <c r="E32" s="1" t="str">
        <v>2837</v>
      </c>
      <c r="G32" s="1" t="str">
        <v>252837</v>
      </c>
      <c r="H32" s="1" t="str">
        <v>DIN</v>
      </c>
      <c r="J32" s="1">
        <v>14</v>
      </c>
      <c r="K32" s="1">
        <v>9</v>
      </c>
      <c r="M32" s="1" t="str">
        <v>Marketing</v>
      </c>
      <c r="N32" s="1" t="str">
        <v>DINESH KUMAR</v>
      </c>
      <c r="P32" s="1" t="str">
        <f>_xlfn.CONCAT(employee_salary_dataset!B30,"  ",employee_salary_dataset!C30)</f>
        <v>KANDULA  DINESH KUMAR</v>
      </c>
      <c r="R32" s="19" t="str">
        <f>LOWER(_xlfn.CONCAT(employee_salary_dataset!B30,".",employee_salary_dataset!C30,"@gmail.com"))</f>
        <v>kandula.dinesh kumar@gmail.com</v>
      </c>
    </row>
    <row r="33" spans="1:18" x14ac:dyDescent="0.3">
      <c r="A33" s="1" t="str">
        <v>M</v>
      </c>
      <c r="B33" s="1" t="str">
        <v>Emp</v>
      </c>
      <c r="D33" s="1" t="str">
        <v>130</v>
      </c>
      <c r="E33" s="1" t="str">
        <v>2837</v>
      </c>
      <c r="G33" s="1" t="str">
        <v>252837</v>
      </c>
      <c r="H33" s="1" t="str">
        <v>VIK</v>
      </c>
      <c r="J33" s="1">
        <v>14</v>
      </c>
      <c r="K33" s="1">
        <v>5</v>
      </c>
      <c r="M33" s="1" t="str">
        <v>Marketing</v>
      </c>
      <c r="N33" s="1" t="str">
        <v>VIKAS</v>
      </c>
      <c r="P33" s="1" t="str">
        <f>_xlfn.CONCAT(employee_salary_dataset!B31,"  ",employee_salary_dataset!C31)</f>
        <v>KONIDELA  VIKAS</v>
      </c>
      <c r="R33" s="19" t="str">
        <f>LOWER(_xlfn.CONCAT(employee_salary_dataset!B31,".",employee_salary_dataset!C31,"@gmail.com"))</f>
        <v>konidela.vikas@gmail.com</v>
      </c>
    </row>
    <row r="34" spans="1:18" x14ac:dyDescent="0.3">
      <c r="A34" s="1" t="str">
        <v>F</v>
      </c>
      <c r="B34" s="1" t="str">
        <v>Emp</v>
      </c>
      <c r="D34" s="1" t="str">
        <v>131</v>
      </c>
      <c r="E34" s="1" t="str">
        <v>2837</v>
      </c>
      <c r="G34" s="1" t="str">
        <v>252837</v>
      </c>
      <c r="H34" s="1" t="str">
        <v>HIM</v>
      </c>
      <c r="J34" s="1">
        <v>14</v>
      </c>
      <c r="K34" s="1">
        <v>9</v>
      </c>
      <c r="M34" s="1" t="str">
        <v>IT</v>
      </c>
      <c r="N34" s="1" t="str">
        <v>HIMA BINDU</v>
      </c>
      <c r="P34" s="1" t="str">
        <f>_xlfn.CONCAT(employee_salary_dataset!B32,"  ",employee_salary_dataset!C32)</f>
        <v>ALLU  HIMA BINDU</v>
      </c>
      <c r="R34" s="19" t="str">
        <f>LOWER(_xlfn.CONCAT(employee_salary_dataset!B32,".",employee_salary_dataset!C32,"@gmail.com"))</f>
        <v>allu.hima bindu@gmail.com</v>
      </c>
    </row>
    <row r="35" spans="1:18" x14ac:dyDescent="0.3">
      <c r="A35" s="1" t="str">
        <v>F</v>
      </c>
      <c r="B35" s="1" t="str">
        <v>Emp</v>
      </c>
      <c r="D35" s="1" t="str">
        <v>132</v>
      </c>
      <c r="E35" s="1" t="str">
        <v>2837</v>
      </c>
      <c r="G35" s="1" t="str">
        <v>252837</v>
      </c>
      <c r="H35" s="1" t="str">
        <v>HEM</v>
      </c>
      <c r="J35" s="1">
        <v>14</v>
      </c>
      <c r="K35" s="1">
        <v>9</v>
      </c>
      <c r="M35" s="1" t="str">
        <v>Marketing</v>
      </c>
      <c r="N35" s="1" t="str">
        <v>HEMA SRI</v>
      </c>
      <c r="P35" s="1" t="str">
        <f>_xlfn.CONCAT(employee_salary_dataset!B33,"  ",employee_salary_dataset!C33)</f>
        <v>KUCHI  HEMA SRI</v>
      </c>
      <c r="R35" s="19" t="str">
        <f>LOWER(_xlfn.CONCAT(employee_salary_dataset!B33,".",employee_salary_dataset!C33,"@gmail.com"))</f>
        <v>kuchi.hema sri@gmail.com</v>
      </c>
    </row>
    <row r="36" spans="1:18" x14ac:dyDescent="0.3">
      <c r="A36" s="1" t="str">
        <v>M</v>
      </c>
      <c r="B36" s="1" t="str">
        <v>Emp</v>
      </c>
      <c r="D36" s="1" t="str">
        <v>133</v>
      </c>
      <c r="E36" s="1" t="str">
        <v>2837</v>
      </c>
      <c r="G36" s="1" t="str">
        <v>252837</v>
      </c>
      <c r="H36" s="1" t="str">
        <v>SIV</v>
      </c>
      <c r="J36" s="1">
        <v>14</v>
      </c>
      <c r="K36" s="1">
        <v>9</v>
      </c>
      <c r="M36" s="1" t="str">
        <v>Marketing</v>
      </c>
      <c r="N36" s="1" t="str">
        <v>SIVA KUMAR</v>
      </c>
      <c r="P36" s="1" t="str">
        <f>_xlfn.CONCAT(employee_salary_dataset!B34,"  ",employee_salary_dataset!C34)</f>
        <v>KUCCHU  SIVA KUMAR</v>
      </c>
      <c r="R36" s="19" t="str">
        <f>LOWER(_xlfn.CONCAT(employee_salary_dataset!B34,".",employee_salary_dataset!C34,"@gmail.com"))</f>
        <v>kucchu.siva kumar@gmail.com</v>
      </c>
    </row>
    <row r="37" spans="1:18" x14ac:dyDescent="0.3">
      <c r="A37" s="1" t="str">
        <v>F</v>
      </c>
      <c r="B37" s="1" t="str">
        <v>Emp</v>
      </c>
      <c r="D37" s="1" t="str">
        <v>134</v>
      </c>
      <c r="E37" s="1" t="str">
        <v>2837</v>
      </c>
      <c r="G37" s="1" t="str">
        <v>252837</v>
      </c>
      <c r="H37" s="1" t="str">
        <v>SON</v>
      </c>
      <c r="J37" s="1">
        <v>14</v>
      </c>
      <c r="K37" s="1">
        <v>5</v>
      </c>
      <c r="M37" s="1" t="str">
        <v>HR</v>
      </c>
      <c r="N37" s="1" t="str">
        <v>SONALI</v>
      </c>
      <c r="P37" s="1" t="str">
        <f>_xlfn.CONCAT(employee_salary_dataset!B35,"  ",employee_salary_dataset!C35)</f>
        <v>DAGGUBATI  SONALI</v>
      </c>
      <c r="R37" s="19" t="str">
        <f>LOWER(_xlfn.CONCAT(employee_salary_dataset!B35,".",employee_salary_dataset!C35,"@gmail.com"))</f>
        <v>daggubati.sonali@gmail.com</v>
      </c>
    </row>
    <row r="38" spans="1:18" x14ac:dyDescent="0.3">
      <c r="A38" s="1" t="str">
        <v>M</v>
      </c>
      <c r="B38" s="1" t="str">
        <v>Emp</v>
      </c>
      <c r="D38" s="1" t="str">
        <v>135</v>
      </c>
      <c r="E38" s="1" t="str">
        <v>2837</v>
      </c>
      <c r="G38" s="1" t="str">
        <v>252837</v>
      </c>
      <c r="H38" s="1" t="str">
        <v>RAV</v>
      </c>
      <c r="J38" s="1">
        <v>14</v>
      </c>
      <c r="K38" s="1">
        <v>9</v>
      </c>
      <c r="M38" s="1" t="str">
        <v>IT</v>
      </c>
      <c r="N38" s="1" t="str">
        <v>RAVI SANKAR</v>
      </c>
      <c r="P38" s="1" t="str">
        <f>_xlfn.CONCAT(employee_salary_dataset!B36,"  ",employee_salary_dataset!C36)</f>
        <v>KANCHE  RAVI SANKAR</v>
      </c>
      <c r="R38" s="19" t="str">
        <f>LOWER(_xlfn.CONCAT(employee_salary_dataset!B36,".",employee_salary_dataset!C36,"@gmail.com"))</f>
        <v>kanche.ravi sankar@gmail.com</v>
      </c>
    </row>
    <row r="39" spans="1:18" x14ac:dyDescent="0.3">
      <c r="A39" s="1" t="str">
        <v>F</v>
      </c>
      <c r="B39" s="1" t="str">
        <v>Emp</v>
      </c>
      <c r="D39" s="1" t="str">
        <v>136</v>
      </c>
      <c r="E39" s="1" t="str">
        <v>2837</v>
      </c>
      <c r="G39" s="1" t="str">
        <v>252837</v>
      </c>
      <c r="H39" s="1" t="str">
        <v>SAM</v>
      </c>
      <c r="J39" s="1">
        <v>14</v>
      </c>
      <c r="K39" s="1">
        <v>5</v>
      </c>
      <c r="M39" s="1" t="str">
        <v>Operations</v>
      </c>
      <c r="N39" s="1" t="str">
        <v>SAMSKRUTHI</v>
      </c>
      <c r="P39" s="1" t="str">
        <f>_xlfn.CONCAT(employee_salary_dataset!B37,"  ",employee_salary_dataset!C37)</f>
        <v>GHATTAMANENI  SAMSKRUTHI</v>
      </c>
      <c r="R39" s="19" t="str">
        <f>LOWER(_xlfn.CONCAT(employee_salary_dataset!B37,".",employee_salary_dataset!C37,"@gmail.com"))</f>
        <v>ghattamaneni.samskruthi@gmail.com</v>
      </c>
    </row>
    <row r="40" spans="1:18" x14ac:dyDescent="0.3">
      <c r="A40" s="1" t="str">
        <v>M</v>
      </c>
      <c r="B40" s="1" t="str">
        <v>Emp</v>
      </c>
      <c r="D40" s="1" t="str">
        <v>137</v>
      </c>
      <c r="E40" s="1" t="str">
        <v>2837</v>
      </c>
      <c r="G40" s="1" t="str">
        <v>252837</v>
      </c>
      <c r="H40" s="1" t="str">
        <v>SRI</v>
      </c>
      <c r="J40" s="1">
        <v>14</v>
      </c>
      <c r="K40" s="1">
        <v>7</v>
      </c>
      <c r="M40" s="1" t="str">
        <v>IT</v>
      </c>
      <c r="N40" s="1" t="str">
        <v>SRI RAM</v>
      </c>
      <c r="P40" s="1" t="str">
        <f>_xlfn.CONCAT(employee_salary_dataset!B38,"  ",employee_salary_dataset!C38)</f>
        <v>NANDAMURI  SRI RAM</v>
      </c>
      <c r="R40" s="19" t="str">
        <f>LOWER(_xlfn.CONCAT(employee_salary_dataset!B38,".",employee_salary_dataset!C38,"@gmail.com"))</f>
        <v>nandamuri.sri ram@gmail.com</v>
      </c>
    </row>
    <row r="41" spans="1:18" x14ac:dyDescent="0.3">
      <c r="A41" s="1" t="str">
        <v>M</v>
      </c>
      <c r="B41" s="1" t="str">
        <v>Emp</v>
      </c>
      <c r="D41" s="1" t="str">
        <v>138</v>
      </c>
      <c r="E41" s="1" t="str">
        <v>2837</v>
      </c>
      <c r="G41" s="1" t="str">
        <v>252837</v>
      </c>
      <c r="H41" s="1" t="str">
        <v>MAD</v>
      </c>
      <c r="J41" s="1">
        <v>14</v>
      </c>
      <c r="K41" s="1">
        <v>6</v>
      </c>
      <c r="M41" s="1" t="str">
        <v>Operations</v>
      </c>
      <c r="N41" s="1" t="str">
        <v>MADHAV</v>
      </c>
      <c r="P41" s="1" t="str">
        <f>_xlfn.CONCAT(employee_salary_dataset!B39,"  ",employee_salary_dataset!C39)</f>
        <v>AKKINENI  MADHAV</v>
      </c>
      <c r="R41" s="19" t="str">
        <f>LOWER(_xlfn.CONCAT(employee_salary_dataset!B39,".",employee_salary_dataset!C39,"@gmail.com"))</f>
        <v>akkineni.madhav@gmail.com</v>
      </c>
    </row>
    <row r="42" spans="1:18" x14ac:dyDescent="0.3">
      <c r="A42" s="1" t="str">
        <v>M</v>
      </c>
      <c r="B42" s="1" t="str">
        <v>Emp</v>
      </c>
      <c r="D42" s="1" t="str">
        <v>139</v>
      </c>
      <c r="E42" s="1" t="str">
        <v>2837</v>
      </c>
      <c r="G42" s="1" t="str">
        <v>252837</v>
      </c>
      <c r="H42" s="1" t="str">
        <v>MAN</v>
      </c>
      <c r="J42" s="1">
        <v>14</v>
      </c>
      <c r="K42" s="1">
        <v>6</v>
      </c>
      <c r="M42" s="1" t="str">
        <v>HR</v>
      </c>
      <c r="N42" s="1" t="str">
        <v>MANIKANTA</v>
      </c>
      <c r="P42" s="1" t="str">
        <f>_xlfn.CONCAT(employee_salary_dataset!B40,"  ",employee_salary_dataset!C40)</f>
        <v>TATAVARTHY  MANIKANTA</v>
      </c>
      <c r="R42" s="19" t="str">
        <f>LOWER(_xlfn.CONCAT(employee_salary_dataset!B40,".",employee_salary_dataset!C40,"@gmail.com"))</f>
        <v>tatavarthy.manikanta@gmail.com</v>
      </c>
    </row>
    <row r="43" spans="1:18" x14ac:dyDescent="0.3">
      <c r="A43" s="1" t="str">
        <v>F</v>
      </c>
      <c r="B43" s="1" t="str">
        <v>Emp</v>
      </c>
      <c r="D43" s="1" t="str">
        <v>140</v>
      </c>
      <c r="E43" s="1" t="str">
        <v>2837</v>
      </c>
      <c r="G43" s="1" t="str">
        <v>252837</v>
      </c>
      <c r="H43" s="1" t="str">
        <v>DEE</v>
      </c>
      <c r="J43" s="1">
        <v>14</v>
      </c>
      <c r="K43" s="1">
        <v>6</v>
      </c>
      <c r="M43" s="1" t="str">
        <v>Finance</v>
      </c>
      <c r="N43" s="1" t="str">
        <v>DEEPA</v>
      </c>
      <c r="P43" s="1" t="str">
        <f>_xlfn.CONCAT(employee_salary_dataset!B41,"  ",employee_salary_dataset!C41)</f>
        <v>TANGELLA  DEEPA</v>
      </c>
      <c r="R43" s="19" t="str">
        <f>LOWER(_xlfn.CONCAT(employee_salary_dataset!B41,".",employee_salary_dataset!C41,"@gmail.com"))</f>
        <v>tangella.deepa@gmail.com</v>
      </c>
    </row>
    <row r="44" spans="1:18" x14ac:dyDescent="0.3">
      <c r="A44" s="1" t="str">
        <v>F</v>
      </c>
      <c r="B44" s="1" t="str">
        <v>Emp</v>
      </c>
      <c r="D44" s="1" t="str">
        <v>141</v>
      </c>
      <c r="E44" s="1" t="str">
        <v>2837</v>
      </c>
      <c r="G44" s="1" t="str">
        <v>252837</v>
      </c>
      <c r="H44" s="1" t="str">
        <v>SAM</v>
      </c>
      <c r="J44" s="1">
        <v>14</v>
      </c>
      <c r="K44" s="1">
        <v>9</v>
      </c>
      <c r="M44" s="1" t="str">
        <v>Marketing</v>
      </c>
      <c r="N44" s="1" t="str">
        <v>SAMHITHA</v>
      </c>
      <c r="P44" s="1" t="str">
        <f>_xlfn.CONCAT(employee_salary_dataset!B42,"  ",employee_salary_dataset!C42)</f>
        <v>NADENDLA  SAMHITHA</v>
      </c>
      <c r="R44" s="19" t="str">
        <f>LOWER(_xlfn.CONCAT(employee_salary_dataset!B42,".",employee_salary_dataset!C42,"@gmail.com"))</f>
        <v>nadendla.samhitha@gmail.com</v>
      </c>
    </row>
    <row r="45" spans="1:18" x14ac:dyDescent="0.3">
      <c r="A45" s="1" t="str">
        <v>M</v>
      </c>
      <c r="B45" s="1" t="str">
        <v>Emp</v>
      </c>
      <c r="D45" s="1" t="str">
        <v>142</v>
      </c>
      <c r="E45" s="1" t="str">
        <v>2837</v>
      </c>
      <c r="G45" s="1" t="str">
        <v>252837</v>
      </c>
      <c r="H45" s="1" t="str">
        <v>MAN</v>
      </c>
      <c r="J45" s="1">
        <v>14</v>
      </c>
      <c r="K45" s="1">
        <v>7</v>
      </c>
      <c r="M45" s="1" t="str">
        <v>HR</v>
      </c>
      <c r="N45" s="1" t="str">
        <v>MANI KUMAR</v>
      </c>
      <c r="P45" s="1" t="str">
        <f>_xlfn.CONCAT(employee_salary_dataset!B43,"  ",employee_salary_dataset!C43)</f>
        <v>PANTHAM  MANI KUMAR</v>
      </c>
      <c r="R45" s="19" t="str">
        <f>LOWER(_xlfn.CONCAT(employee_salary_dataset!B43,".",employee_salary_dataset!C43,"@gmail.com"))</f>
        <v>pantham.mani kumar@gmail.com</v>
      </c>
    </row>
    <row r="46" spans="1:18" x14ac:dyDescent="0.3">
      <c r="A46" s="1" t="str">
        <v>F</v>
      </c>
      <c r="B46" s="1" t="str">
        <v>Emp</v>
      </c>
      <c r="D46" s="1" t="str">
        <v>143</v>
      </c>
      <c r="E46" s="1" t="str">
        <v>2837</v>
      </c>
      <c r="G46" s="1" t="str">
        <v>252837</v>
      </c>
      <c r="H46" s="1" t="str">
        <v>SAR</v>
      </c>
      <c r="J46" s="1">
        <v>14</v>
      </c>
      <c r="K46" s="1">
        <v>5</v>
      </c>
      <c r="M46" s="1" t="str">
        <v>Marketing</v>
      </c>
      <c r="N46" s="1" t="str">
        <v>SARANYA</v>
      </c>
      <c r="P46" s="1" t="str">
        <f>_xlfn.CONCAT(employee_salary_dataset!B44,"  ",employee_salary_dataset!C44)</f>
        <v>VANAMADI  SARANYA</v>
      </c>
      <c r="R46" s="19" t="str">
        <f>LOWER(_xlfn.CONCAT(employee_salary_dataset!B44,".",employee_salary_dataset!C44,"@gmail.com"))</f>
        <v>vanamadi.saranya@gmail.com</v>
      </c>
    </row>
    <row r="47" spans="1:18" x14ac:dyDescent="0.3">
      <c r="A47" s="1" t="str">
        <v>M</v>
      </c>
      <c r="B47" s="1" t="str">
        <v>Emp</v>
      </c>
      <c r="D47" s="1" t="str">
        <v>144</v>
      </c>
      <c r="E47" s="1" t="str">
        <v>2837</v>
      </c>
      <c r="G47" s="1" t="str">
        <v>252837</v>
      </c>
      <c r="H47" s="1" t="str">
        <v>BHA</v>
      </c>
      <c r="J47" s="1">
        <v>14</v>
      </c>
      <c r="K47" s="1">
        <v>9</v>
      </c>
      <c r="M47" s="1" t="str">
        <v>Finance</v>
      </c>
      <c r="N47" s="1" t="str">
        <v>BHAVANI SHANKAR</v>
      </c>
      <c r="P47" s="1" t="str">
        <f>_xlfn.CONCAT(employee_salary_dataset!B45,"  ",employee_salary_dataset!C45)</f>
        <v>BOMMIDI  BHAVANI SHANKAR</v>
      </c>
      <c r="R47" s="19" t="str">
        <f>LOWER(_xlfn.CONCAT(employee_salary_dataset!B45,".",employee_salary_dataset!C45,"@gmail.com"))</f>
        <v>bommidi.bhavani shankar@gmail.com</v>
      </c>
    </row>
    <row r="48" spans="1:18" x14ac:dyDescent="0.3">
      <c r="A48" s="1" t="str">
        <v>M</v>
      </c>
      <c r="B48" s="1" t="str">
        <v>Emp</v>
      </c>
      <c r="D48" s="1" t="str">
        <v>145</v>
      </c>
      <c r="E48" s="1" t="str">
        <v>2837</v>
      </c>
      <c r="G48" s="1" t="str">
        <v>252837</v>
      </c>
      <c r="H48" s="1" t="str">
        <v>SAI</v>
      </c>
      <c r="J48" s="1">
        <v>14</v>
      </c>
      <c r="K48" s="1">
        <v>5</v>
      </c>
      <c r="M48" s="1" t="str">
        <v>Finance</v>
      </c>
      <c r="N48" s="1" t="str">
        <v>SAI KUMAR</v>
      </c>
      <c r="P48" s="1" t="str">
        <f>_xlfn.CONCAT(employee_salary_dataset!B46,"  ",employee_salary_dataset!C46)</f>
        <v>PULAPARTHY  SAI KUMAR</v>
      </c>
      <c r="R48" s="19" t="str">
        <f>LOWER(_xlfn.CONCAT(employee_salary_dataset!B46,".",employee_salary_dataset!C46,"@gmail.com"))</f>
        <v>pulaparthy.sai kumar@gmail.com</v>
      </c>
    </row>
    <row r="49" spans="1:18" x14ac:dyDescent="0.3">
      <c r="A49" s="1" t="str">
        <v>F</v>
      </c>
      <c r="B49" s="1" t="str">
        <v>Emp</v>
      </c>
      <c r="D49" s="1" t="str">
        <v>146</v>
      </c>
      <c r="E49" s="1" t="str">
        <v>2837</v>
      </c>
      <c r="G49" s="1" t="str">
        <v>252837</v>
      </c>
      <c r="H49" s="1" t="str">
        <v>PRA</v>
      </c>
      <c r="J49" s="1">
        <v>14</v>
      </c>
      <c r="K49" s="1">
        <v>9</v>
      </c>
      <c r="M49" s="1" t="str">
        <v>HR</v>
      </c>
      <c r="N49" s="1" t="str">
        <v>PRASANNA</v>
      </c>
      <c r="P49" s="1" t="str">
        <f>_xlfn.CONCAT(employee_salary_dataset!B47,"  ",employee_salary_dataset!C47)</f>
        <v>GANDHAM  PRASANNA</v>
      </c>
      <c r="R49" s="19" t="str">
        <f>LOWER(_xlfn.CONCAT(employee_salary_dataset!B47,".",employee_salary_dataset!C47,"@gmail.com"))</f>
        <v>gandham.prasanna@gmail.com</v>
      </c>
    </row>
    <row r="50" spans="1:18" x14ac:dyDescent="0.3">
      <c r="A50" s="1" t="str">
        <v>F</v>
      </c>
      <c r="B50" s="1" t="str">
        <v>Emp</v>
      </c>
      <c r="D50" s="1" t="str">
        <v>147</v>
      </c>
      <c r="E50" s="1" t="str">
        <v>2837</v>
      </c>
      <c r="G50" s="1" t="str">
        <v>252837</v>
      </c>
      <c r="H50" s="1" t="str">
        <v>SRA</v>
      </c>
      <c r="J50" s="1">
        <v>14</v>
      </c>
      <c r="K50" s="1">
        <v>5</v>
      </c>
      <c r="M50" s="1" t="str">
        <v>Finance</v>
      </c>
      <c r="N50" s="1" t="str">
        <v>SRAVYA</v>
      </c>
      <c r="P50" s="1" t="str">
        <f>_xlfn.CONCAT(employee_salary_dataset!B48,"  ",employee_salary_dataset!C48)</f>
        <v>GRANDHI  SRAVYA</v>
      </c>
      <c r="R50" s="19" t="str">
        <f>LOWER(_xlfn.CONCAT(employee_salary_dataset!B48,".",employee_salary_dataset!C48,"@gmail.com"))</f>
        <v>grandhi.sravya@gmail.com</v>
      </c>
    </row>
    <row r="51" spans="1:18" x14ac:dyDescent="0.3">
      <c r="A51" s="1" t="str">
        <v>M</v>
      </c>
      <c r="B51" s="1" t="str">
        <v>Emp</v>
      </c>
      <c r="D51" s="1" t="str">
        <v>148</v>
      </c>
      <c r="E51" s="1" t="str">
        <v>2837</v>
      </c>
      <c r="G51" s="1" t="str">
        <v>252837</v>
      </c>
      <c r="H51" s="1" t="str">
        <v>SAI</v>
      </c>
      <c r="J51" s="1">
        <v>14</v>
      </c>
      <c r="K51" s="1">
        <v>7</v>
      </c>
      <c r="M51" s="1" t="str">
        <v>Operations</v>
      </c>
      <c r="N51" s="1" t="str">
        <v>SAI RAJ</v>
      </c>
      <c r="P51" s="1" t="str">
        <f>_xlfn.CONCAT(employee_salary_dataset!B49,"  ",employee_salary_dataset!C49)</f>
        <v>KURRU  SAI RAJ</v>
      </c>
      <c r="R51" s="19" t="str">
        <f>LOWER(_xlfn.CONCAT(employee_salary_dataset!B49,".",employee_salary_dataset!C49,"@gmail.com"))</f>
        <v>kurru.sai raj@gmail.com</v>
      </c>
    </row>
    <row r="52" spans="1:18" x14ac:dyDescent="0.3">
      <c r="A52" s="1" t="str">
        <v>F</v>
      </c>
      <c r="B52" s="1" t="str">
        <v>Emp</v>
      </c>
      <c r="D52" s="1" t="str">
        <v>149</v>
      </c>
      <c r="E52" s="1" t="str">
        <v>2837</v>
      </c>
      <c r="G52" s="1" t="str">
        <v>252837</v>
      </c>
      <c r="H52" s="1" t="str">
        <v>NAV</v>
      </c>
      <c r="J52" s="1">
        <v>14</v>
      </c>
      <c r="K52" s="1">
        <v>9</v>
      </c>
      <c r="M52" s="1" t="str">
        <v>Finance</v>
      </c>
      <c r="N52" s="1" t="str">
        <v>NAVYA</v>
      </c>
      <c r="P52" s="1" t="str">
        <f>_xlfn.CONCAT(employee_salary_dataset!B50,"  ",employee_salary_dataset!C50)</f>
        <v>KOMMIREDDY  NAVYA</v>
      </c>
      <c r="R52" s="19" t="str">
        <f>LOWER(_xlfn.CONCAT(employee_salary_dataset!B50,".",employee_salary_dataset!C50,"@gmail.com"))</f>
        <v>kommireddy.navya@gmail.com</v>
      </c>
    </row>
    <row r="53" spans="1:18" x14ac:dyDescent="0.3">
      <c r="A53" s="1" t="str">
        <v>F</v>
      </c>
      <c r="B53" s="1" t="str">
        <v>Emp</v>
      </c>
      <c r="D53" s="1" t="str">
        <v>150</v>
      </c>
      <c r="E53" s="1" t="str">
        <v>2837</v>
      </c>
      <c r="G53" s="1" t="str">
        <v>252837</v>
      </c>
      <c r="H53" s="1" t="str">
        <v>SAT</v>
      </c>
      <c r="J53" s="1">
        <v>14</v>
      </c>
      <c r="K53" s="1">
        <v>9</v>
      </c>
      <c r="M53" s="1" t="str">
        <v>Marketing</v>
      </c>
      <c r="N53" s="1" t="str">
        <v>SATYA</v>
      </c>
      <c r="P53" s="1" t="str">
        <f>_xlfn.CONCAT(employee_salary_dataset!B51,"  ",employee_salary_dataset!C51)</f>
        <v>MUSHINI  SATYA</v>
      </c>
      <c r="R53" s="19" t="str">
        <f>LOWER(_xlfn.CONCAT(employee_salary_dataset!B51,".",employee_salary_dataset!C51,"@gmail.com"))</f>
        <v>mushini.satya@gmail.com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employee_salary_dataset</vt:lpstr>
      <vt:lpstr>Day-1_Basic_Functions</vt:lpstr>
      <vt:lpstr>Day-2_Logical_Functions</vt:lpstr>
      <vt:lpstr>Day- 3_Test_Functions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SaiManikya Mallikharjun</dc:creator>
  <cp:lastModifiedBy>SaiManikya Mallikharjun</cp:lastModifiedBy>
  <dcterms:created xsi:type="dcterms:W3CDTF">2026-08-03T13:08:02Z</dcterms:created>
  <dcterms:modified xsi:type="dcterms:W3CDTF">2026-08-06T05:43:16Z</dcterms:modified>
</cp:coreProperties>
</file>